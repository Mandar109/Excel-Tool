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pensymmetry2-my.sharepoint.com/personal/mandar_sontakke_opensymmetry_com/Documents/Desktop/Tool And XML Files/Old File/New Copy/"/>
    </mc:Choice>
  </mc:AlternateContent>
  <xr:revisionPtr revIDLastSave="283308" documentId="14_{355CE011-F91F-4815-A9C5-D496A7749801}" xr6:coauthVersionLast="47" xr6:coauthVersionMax="47" xr10:uidLastSave="{7DAEB446-C7DD-4D10-AF67-1B369A78584E}"/>
  <bookViews>
    <workbookView xWindow="-110" yWindow="-110" windowWidth="19420" windowHeight="10300" tabRatio="895" activeTab="5" xr2:uid="{B2AD5CD5-BFA4-4ED4-8DA7-00D7F7E56F87}"/>
  </bookViews>
  <sheets>
    <sheet name="Summary" sheetId="1" r:id="rId1"/>
    <sheet name="PLANS" sheetId="5" r:id="rId2"/>
    <sheet name="COMPONENTS" sheetId="6" r:id="rId3"/>
    <sheet name="CREDITRULES" sheetId="7" r:id="rId4"/>
    <sheet name="MEASUREMENTS" sheetId="9" r:id="rId5"/>
    <sheet name="INCENTIVES" sheetId="10" r:id="rId6"/>
    <sheet name="DEPOSITS" sheetId="11" r:id="rId7"/>
    <sheet name="LOOKUP_TABLES" sheetId="12" r:id="rId8"/>
    <sheet name="Sheet4" sheetId="21" r:id="rId9"/>
    <sheet name="RATE_TABLES" sheetId="13" r:id="rId10"/>
    <sheet name="FIXED_VALUES" sheetId="14" r:id="rId11"/>
    <sheet name="VARIABLES" sheetId="15" r:id="rId12"/>
    <sheet name="FORMULAS" sheetId="16" r:id="rId13"/>
    <sheet name="Sheet2" sheetId="18" r:id="rId14"/>
  </sheets>
  <functionGroups builtInGroupCount="19"/>
  <definedNames>
    <definedName name="_xlnm._FilterDatabase" localSheetId="0" hidden="1">Summary!$D$5:$M$92</definedName>
    <definedName name="Plan_File_Path">Summary!$C$2</definedName>
  </definedNames>
  <calcPr calcId="191029"/>
  <webPublishing css="0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" i="1" l="1"/>
  <c r="G11" i="1"/>
  <c r="G10" i="1"/>
  <c r="G9" i="1"/>
  <c r="G8" i="1"/>
  <c r="D13" i="1"/>
  <c r="D12" i="1"/>
  <c r="D11" i="1"/>
  <c r="D10" i="1"/>
  <c r="D9" i="1"/>
  <c r="D8" i="1"/>
  <c r="D2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FF4830-1047-482B-B2B7-5938685EAF21}" keepAlive="1" name="Query - DirectCredits" description="Connection to the 'DirectCredits' query in the workbook." type="5" refreshedVersion="6" background="1" saveData="1">
    <dbPr connection="Provider=Microsoft.Mashup.OleDb.1;Data Source=$Workbook$;Location=DirectCredits;Extended Properties=&quot;&quot;" command="SELECT * FROM [DirectCredits]"/>
  </connection>
  <connection id="2" xr16:uid="{39586B8A-9C64-4845-903E-38C04DBE308C}" keepAlive="1" name="Query - EVENT_TYPE_EXPRESSION_TEXT" description="Connection to the 'EVENT_TYPE_EXPRESSION_TEXT' query in the workbook." type="5" refreshedVersion="0" background="1">
    <dbPr connection="Provider=Microsoft.Mashup.OleDb.1;Data Source=$Workbook$;Location=EVENT_TYPE_EXPRESSION_TEXT;Extended Properties=&quot;&quot;" command="SELECT * FROM [EVENT_TYPE_EXPRESSION_TEXT]"/>
  </connection>
  <connection id="3" xr16:uid="{4EF2B919-404B-4A19-A76D-C9DA5B3646A9}" keepAlive="1" name="Query - ObjectToText" description="Connection to the 'ObjectToText' query in the workbook." type="5" refreshedVersion="0" background="1">
    <dbPr connection="Provider=Microsoft.Mashup.OleDb.1;Data Source=$Workbook$;Location=ObjectToText;Extended Properties=&quot;&quot;" command="SELECT * FROM [ObjectToText]"/>
  </connection>
  <connection id="4" xr16:uid="{6F4C7773-C5DD-4213-9458-A8CBF8C5FCA7}" keepAlive="1" name="Query - Plan_File_Path" description="Connection to the 'Plan_File_Path' query in the workbook." type="5" refreshedVersion="0" background="1">
    <dbPr connection="Provider=Microsoft.Mashup.OleDb.1;Data Source=$Workbook$;Location=Plan_File_Path;Extended Properties=&quot;&quot;" command="SELECT * FROM [Plan_File_Path]"/>
  </connection>
  <connection id="5" xr16:uid="{CBF7376D-A6E0-4A3D-95C7-BDF31A68F4A2}" keepAlive="1" name="Query - PlanComponents" description="Connection to the 'PlanComponents' query in the workbook." type="5" refreshedVersion="6" background="1" saveData="1">
    <dbPr connection="Provider=Microsoft.Mashup.OleDb.1;Data Source=$Workbook$;Location=PlanComponents;Extended Properties=&quot;&quot;" command="SELECT * FROM [PlanComponents]"/>
  </connection>
  <connection id="6" xr16:uid="{6D4DE3AE-7F30-4EDB-861B-EF75CA3385E1}" keepAlive="1" name="Query - Plans" description="Connection to the 'Plans' query in the workbook." type="5" refreshedVersion="6" background="1" saveData="1">
    <dbPr connection="Provider=Microsoft.Mashup.OleDb.1;Data Source=$Workbook$;Location=Plans;Extended Properties=&quot;&quot;" command="SELECT * FROM [Plans]"/>
  </connection>
</connections>
</file>

<file path=xl/sharedStrings.xml><?xml version="1.0" encoding="utf-8"?>
<sst xmlns="http://schemas.openxmlformats.org/spreadsheetml/2006/main" count="1807" uniqueCount="542">
  <si>
    <t>Calendar</t>
  </si>
  <si>
    <t>Name</t>
  </si>
  <si>
    <t>Start Date</t>
  </si>
  <si>
    <t>End Date</t>
  </si>
  <si>
    <t>Component</t>
  </si>
  <si>
    <t>Type</t>
  </si>
  <si>
    <t>Start</t>
  </si>
  <si>
    <t>End</t>
  </si>
  <si>
    <t>Rule</t>
  </si>
  <si>
    <t>Rule Type</t>
  </si>
  <si>
    <t>Rule Start</t>
  </si>
  <si>
    <t>Rule End</t>
  </si>
  <si>
    <t>Component Start</t>
  </si>
  <si>
    <t>Component End</t>
  </si>
  <si>
    <t>Output Name</t>
  </si>
  <si>
    <t>Display Name</t>
  </si>
  <si>
    <t>Reportable</t>
  </si>
  <si>
    <t>Period Type</t>
  </si>
  <si>
    <t>Unit Type</t>
  </si>
  <si>
    <t>Value</t>
  </si>
  <si>
    <t>Hold</t>
  </si>
  <si>
    <t>Release</t>
  </si>
  <si>
    <t>Conditions</t>
  </si>
  <si>
    <t>Credit Type</t>
  </si>
  <si>
    <t>Duplicate</t>
  </si>
  <si>
    <t>Roll Up</t>
  </si>
  <si>
    <t>Roll Date</t>
  </si>
  <si>
    <t>GA1</t>
  </si>
  <si>
    <t>GA2</t>
  </si>
  <si>
    <t>GA3</t>
  </si>
  <si>
    <t>GA4</t>
  </si>
  <si>
    <t>GA5</t>
  </si>
  <si>
    <t>GA6</t>
  </si>
  <si>
    <t>GA7</t>
  </si>
  <si>
    <t>GA8</t>
  </si>
  <si>
    <t>GA9</t>
  </si>
  <si>
    <t>GA10</t>
  </si>
  <si>
    <t>GA11</t>
  </si>
  <si>
    <t>GA12</t>
  </si>
  <si>
    <t>GA13</t>
  </si>
  <si>
    <t>GA14</t>
  </si>
  <si>
    <t>GA15</t>
  </si>
  <si>
    <t>GA16</t>
  </si>
  <si>
    <t>GN1</t>
  </si>
  <si>
    <t>GN2</t>
  </si>
  <si>
    <t>GN3</t>
  </si>
  <si>
    <t>GN4</t>
  </si>
  <si>
    <t>GN5</t>
  </si>
  <si>
    <t>GN6</t>
  </si>
  <si>
    <t>GD1</t>
  </si>
  <si>
    <t>GD2</t>
  </si>
  <si>
    <t>GD3</t>
  </si>
  <si>
    <t>GD4</t>
  </si>
  <si>
    <t>GD5</t>
  </si>
  <si>
    <t>GD6</t>
  </si>
  <si>
    <t>GB1</t>
  </si>
  <si>
    <t>GB2</t>
  </si>
  <si>
    <t>GB3</t>
  </si>
  <si>
    <t>GB4</t>
  </si>
  <si>
    <t>GB5</t>
  </si>
  <si>
    <t>GB6</t>
  </si>
  <si>
    <t>Condition</t>
  </si>
  <si>
    <t>Event Type</t>
  </si>
  <si>
    <t>Rate</t>
  </si>
  <si>
    <t>HOLD_REF_NAME</t>
  </si>
  <si>
    <t>HOLD_REF_PERIOD_OFFSET</t>
  </si>
  <si>
    <t>HOLD_REF_PERIOD_TYPE</t>
  </si>
  <si>
    <t>Hold Condition</t>
  </si>
  <si>
    <t>Description</t>
  </si>
  <si>
    <t>Return Type</t>
  </si>
  <si>
    <t>Dim Start Date</t>
  </si>
  <si>
    <t>Dim End Date</t>
  </si>
  <si>
    <t>Dim Name</t>
  </si>
  <si>
    <t>Case Sensitive</t>
  </si>
  <si>
    <t>Dim Type</t>
  </si>
  <si>
    <t>High</t>
  </si>
  <si>
    <t>Convert NULL</t>
  </si>
  <si>
    <t>Low</t>
  </si>
  <si>
    <t>RATE_EXP_UNIT_TYPE</t>
  </si>
  <si>
    <t>RETURN_TYPE</t>
  </si>
  <si>
    <t>SELECTOR_UNIT_TYPE</t>
  </si>
  <si>
    <t>Start Include</t>
  </si>
  <si>
    <t>Start Type</t>
  </si>
  <si>
    <t>End Include</t>
  </si>
  <si>
    <t>End Type</t>
  </si>
  <si>
    <t>Variable Type</t>
  </si>
  <si>
    <t>Default</t>
  </si>
  <si>
    <t>Formula</t>
  </si>
  <si>
    <t>Earning Group</t>
  </si>
  <si>
    <t>Earning Code</t>
  </si>
  <si>
    <t>Plans</t>
  </si>
  <si>
    <t>Components</t>
  </si>
  <si>
    <t>Creditrules</t>
  </si>
  <si>
    <t>Measurements</t>
  </si>
  <si>
    <t>Incentives</t>
  </si>
  <si>
    <t>Deposits</t>
  </si>
  <si>
    <t>Lookup Tables</t>
  </si>
  <si>
    <t>Rate Tables</t>
  </si>
  <si>
    <t>Fixed Values</t>
  </si>
  <si>
    <t>Variables</t>
  </si>
  <si>
    <t>Formulas</t>
  </si>
  <si>
    <t>Compensation Elements</t>
  </si>
  <si>
    <t>Plan Data</t>
  </si>
  <si>
    <t xml:space="preserve">  |</t>
  </si>
  <si>
    <t xml:space="preserve">  v</t>
  </si>
  <si>
    <t>Total</t>
  </si>
  <si>
    <t>LT_INC_New_Agent_Monthly_Bonus_Per_Stage_2024</t>
  </si>
  <si>
    <t>LT_Payment_Period_Number</t>
  </si>
  <si>
    <t>LT_Premium_Payment_Period_based_Adjustment_Ratio</t>
  </si>
  <si>
    <t>LT_Indirect_Unit_Level_Rollup_Ratio</t>
  </si>
  <si>
    <t>LT_Product_Adjustment_Ratio</t>
  </si>
  <si>
    <t>LT_FYC_Recognition_Ratio</t>
  </si>
  <si>
    <t>LT_Month_Number</t>
  </si>
  <si>
    <t>XXXLT_PCR_Debt_Policy_Old</t>
  </si>
  <si>
    <t>LT_Dashboard_Eligible_KPI</t>
  </si>
  <si>
    <t>LT_EMU_Inheritance%</t>
  </si>
  <si>
    <t>LT_Emulation_Agent_Target_And_Reward_Cash_Transfer</t>
  </si>
  <si>
    <t>LT_Emulation_AM_Target_And_Reward_Cash_Transfer</t>
  </si>
  <si>
    <t>LT_Emulation_UM_Target_And_Reward_Cash_Transfer</t>
  </si>
  <si>
    <t>LT_Emulation_UM_Recruitment_Cash_Transfer</t>
  </si>
  <si>
    <t>LT_Emulation_PUM_Target_And_Reward_Cash_Transfer</t>
  </si>
  <si>
    <t>LT_EMU_Reward1_Agent</t>
  </si>
  <si>
    <t>LT_EMU_Reward1</t>
  </si>
  <si>
    <t>LT_EMU_Reward3_Agent</t>
  </si>
  <si>
    <t>LT_Emulation_Reward1_UM</t>
  </si>
  <si>
    <t>LT_Emulation_Reward3_UM</t>
  </si>
  <si>
    <t>LT_Emulation_Reward1_AM</t>
  </si>
  <si>
    <t>LT_Emulation_Reward3_AM</t>
  </si>
  <si>
    <t>LT_EMU_Reward3</t>
  </si>
  <si>
    <t>LT_Emulation_Reward1_UM_Ticket1</t>
  </si>
  <si>
    <t>LT_Emulation_Reward3_UM_Ticket1</t>
  </si>
  <si>
    <t>LT_EMU_Ticket_Reward1</t>
  </si>
  <si>
    <t>LT_EMU_Ticket_Reward3</t>
  </si>
  <si>
    <t>Lt_EMU_Inheritance</t>
  </si>
  <si>
    <t>LT_EMU_KPI_Targets</t>
  </si>
  <si>
    <t>LT_Emulation_UM_as_Agent_Recruitment_Cash_Transfer</t>
  </si>
  <si>
    <t>LT_Emulation_AM_Reward_Code</t>
  </si>
  <si>
    <t>LT_Emulation_NA_Reward_Code_2023</t>
  </si>
  <si>
    <t>LT_EMU_Title_Reward_Code</t>
  </si>
  <si>
    <t>LT_EMU_Title_NA_Reward_Code</t>
  </si>
  <si>
    <t>LT_EMU_KPI_Targets_for_DB</t>
  </si>
  <si>
    <t>LT_Emulation_Recruitment_Tier_Agent_For_Reports</t>
  </si>
  <si>
    <t>LT_Emulation_Recruitment_Tier_UM_For_Reports</t>
  </si>
  <si>
    <t>LT_Emulation_Tier_Agent_For_Reports</t>
  </si>
  <si>
    <t>LT_Emulation_Tier_Sale_UM_For_Reports</t>
  </si>
  <si>
    <t>LT_Emulation_Tier_AM_For_Reports</t>
  </si>
  <si>
    <t>LT_Emulation_Tier_DirectUnit_For_Reports</t>
  </si>
  <si>
    <t>LT_Emulation_Recruitment_QA_Tier_Agent_For_Reports</t>
  </si>
  <si>
    <t>LT_Emulation_Recruitment_QA_Tier_UM_For_Reports</t>
  </si>
  <si>
    <t>LT_Emulation_Period_Derivation</t>
  </si>
  <si>
    <t>LT_Emulation_AM_Reward_Cash_Transfer</t>
  </si>
  <si>
    <t>LT_O_KPI_AM_New_Mgr_Breakout</t>
  </si>
  <si>
    <t>LT_O_KPI_AM_Mon_Operation_Direct_UM_Role</t>
  </si>
  <si>
    <t>LT_INC_New_Agent_Monthly_Bonus</t>
  </si>
  <si>
    <t>LT_INC_Agent_New_Monthly_Breakout_Stage_FYC</t>
  </si>
  <si>
    <t>LT_INC_Agent_New_Monthly_Breakout_Stage_IP</t>
  </si>
  <si>
    <t>LT_Inc_Agt_Quarter_Productivity_Bonus_Rate</t>
  </si>
  <si>
    <t>LT_INC_Adj_Rate_Based_on_CP</t>
  </si>
  <si>
    <t>LT_INC_Adjustment_Rate</t>
  </si>
  <si>
    <t>LT_INC_13th_Month_Bonus</t>
  </si>
  <si>
    <t>LT_INC_Stage_Definition</t>
  </si>
  <si>
    <t>LT_Inc_New_Agt_Month_Bonus_Per_Stages</t>
  </si>
  <si>
    <t>LT_INC_New_Agent_2022_Breakout_Stage</t>
  </si>
  <si>
    <t>LT_INC_New_Agent_Sum_Per_Stage_Bonus_2022</t>
  </si>
  <si>
    <t>LT_INC_QTR_Awards_And_Honors</t>
  </si>
  <si>
    <t>LT_INC_Standard_Accumulated_FYP</t>
  </si>
  <si>
    <t>LT_INC_SaoViet_Companion_Bonus</t>
  </si>
  <si>
    <t>LT_INC_AM_New_Management_Monthly_Bonus</t>
  </si>
  <si>
    <t>LT_INC_UM_Rec_Remuneration_Rate</t>
  </si>
  <si>
    <t>XXXLT_INC_UM_New_Manager_Monthly_Bonus_QA</t>
  </si>
  <si>
    <t>LT_INC_UM_New_Manager_Breakout_Stage_FYP</t>
  </si>
  <si>
    <t>LT_INC_UM_New_Manager_Breakout_Stage_QA</t>
  </si>
  <si>
    <t>LT_INC_UM_New_Manager_Monthly_Bonus_Per_Stage</t>
  </si>
  <si>
    <t>LT_INC_UM_Efficient_Operation_Qualified_Agents</t>
  </si>
  <si>
    <t>XXXX_LT_INC_UM_Efficient_Operation_Qualified_Agents_Stage_1</t>
  </si>
  <si>
    <t>LT_INC_UM_Monthly_Operations_Manager</t>
  </si>
  <si>
    <t>LT_INC_UM_New_Manager_Monthly_Remuneration</t>
  </si>
  <si>
    <t>LT_INC_UM_New_Manager_Breakout_Remuneration</t>
  </si>
  <si>
    <t>LT_INC_UM_Honor_Bonus</t>
  </si>
  <si>
    <t>LT_INC_UM_AM_Quarterly_Operation_Base_Rate</t>
  </si>
  <si>
    <t>LT_INC_UM_DU_AM_Adj_Rate_Collected_Premium</t>
  </si>
  <si>
    <t>LT_INC_UM_Quarterly_Honoring_Activities_Bonus</t>
  </si>
  <si>
    <t>LT_INC_UM_Yearly_Operation_Management_Bonus</t>
  </si>
  <si>
    <t>LT_INC_UM_Sao_Viet_Development</t>
  </si>
  <si>
    <t>LT_INC_AM_Monthly_Operation_Base_Rate</t>
  </si>
  <si>
    <t>LT_INC_AM_Quarterly_Operation_Base_Rate</t>
  </si>
  <si>
    <t>LT_INC_AM_Adjustment_Rate_Collected_Premium</t>
  </si>
  <si>
    <t>LT_INC_AM_Sao_Viet_Development</t>
  </si>
  <si>
    <t>LT_INC_Final_Incentives</t>
  </si>
  <si>
    <t>XXXLT_INC_UM_AM_System_Development_Ratio Old</t>
  </si>
  <si>
    <t>LT_INC_UM_Promotion_Bonus_2022</t>
  </si>
  <si>
    <t>LT_INC_AM_New_Manager_Breakout_Stage_FYP</t>
  </si>
  <si>
    <t>LT_INC_AM_Quarterly_Operation_Incremental_Rate</t>
  </si>
  <si>
    <t>LT_INC_AM_Monthly_Operation_Incremental_Rate</t>
  </si>
  <si>
    <t>LT_INC_UM_To_Incentives</t>
  </si>
  <si>
    <t>LT_INC_AM_System_Development_2022</t>
  </si>
  <si>
    <t>LT_INC_UM_AM_System_Development_Ratio</t>
  </si>
  <si>
    <t>LT_INC_O_KPI_New_Policy_Count_Per_Stage</t>
  </si>
  <si>
    <t>LT_Sao_Viet_Bonus_AM</t>
  </si>
  <si>
    <t>LT_Emulation_UM_Sale_Reward_Code</t>
  </si>
  <si>
    <t>LT_Emulation_UM_Recruitment_Reward_Code</t>
  </si>
  <si>
    <t>LT_Emulation_Agent_PUM_Reward_Code</t>
  </si>
  <si>
    <t>LT_Sao_Viet_Bonus_AM_Direct_Unit</t>
  </si>
  <si>
    <t>LT_Branch_Incentive_Group</t>
  </si>
  <si>
    <t>LT_PCR_Debt_Policy</t>
  </si>
  <si>
    <t>LT_INC_New_Agent_Monthly_Bonus_2022</t>
  </si>
  <si>
    <t>LT_O_KPI_AM_New_Mgr_Breakout_2024</t>
  </si>
  <si>
    <t>LT_INC_UM_Rec_Remuneration_Rate_2024</t>
  </si>
  <si>
    <t>LT_INC_UM_Monthly_Operations_Manager_2024</t>
  </si>
  <si>
    <t>LT_INC_UM_Honor_Bonus_2024</t>
  </si>
  <si>
    <t>LT_INC_AM_Quarterly_Operation_Incremental_Rate_2024</t>
  </si>
  <si>
    <t>LT_INC_SaoViet_Companion_Bonus_2024</t>
  </si>
  <si>
    <t>LT_INC_AM_New_Management_Monthly_Bonus_2024</t>
  </si>
  <si>
    <t>LT_INC_AM_Monthly_Operation_Incremental_Rate_2024</t>
  </si>
  <si>
    <t>LT_INC_AM_Monthly_Operation_Base_Rate_2024</t>
  </si>
  <si>
    <t>LT_Inc_Agt_Quarter_Productivity_Bonus_Rate_2024</t>
  </si>
  <si>
    <t>LT_INC_Adjustment_Rate_2024</t>
  </si>
  <si>
    <t>LT_Emulation_Agent_Target_And_Reward_Cash_Transfer_2024</t>
  </si>
  <si>
    <t>LT_Emulation_Tier_Agent_For_Reports_2024</t>
  </si>
  <si>
    <t>LT_Emulation_UM_Target_And_Reward_Cash_Transfer_2024</t>
  </si>
  <si>
    <t>LT_Emulation_Tier_Sale_UM_For_Reports_2024</t>
  </si>
  <si>
    <t>LT_Emulation_AM_Target_And_Reward_Cash_Transfer_2024</t>
  </si>
  <si>
    <t>LT_Emulation_Tier_AM_For_Reports_2024</t>
  </si>
  <si>
    <t>LT_Emulation_UM_Recruitment_Cash_Transfer_2024</t>
  </si>
  <si>
    <t>LT_Emulation_Recruitment_Tier_UM_For_Reports_2024</t>
  </si>
  <si>
    <t>LT_INC_New_Agent_Monthly_Bonus_Per_Stage</t>
  </si>
  <si>
    <t>LT_INC_UM_Efficient_Operation_Qualified_Agents_2024</t>
  </si>
  <si>
    <t>LT_INC_EFFICIENT_BONUS_AGENTS_REMUNERATION_2024</t>
  </si>
  <si>
    <t>LT_INC_13th_Month_Bonus_2024</t>
  </si>
  <si>
    <t>BVL Calendar</t>
  </si>
  <si>
    <t>F_Check_GB3_Node_Level</t>
  </si>
  <si>
    <t>F_Movement_Training_Completion_Check</t>
  </si>
  <si>
    <t>SECONDARY_MEASUREMENT</t>
  </si>
  <si>
    <t>Initial Premium - Quarterly (Official)</t>
  </si>
  <si>
    <t>month</t>
  </si>
  <si>
    <t>Measurement</t>
  </si>
  <si>
    <t>VND</t>
  </si>
  <si>
    <t>"O_KPI_Initial_Premium"</t>
  </si>
  <si>
    <t>Position.title.name</t>
  </si>
  <si>
    <t>"ChÃ­nh thá»©c"</t>
  </si>
  <si>
    <t>-</t>
  </si>
  <si>
    <t>"Dashboard"</t>
  </si>
  <si>
    <t>quantity</t>
  </si>
  <si>
    <t>"Month"</t>
  </si>
  <si>
    <t>"Official"</t>
  </si>
  <si>
    <t>Position.genericAttribute9</t>
  </si>
  <si>
    <t>Position.genericAttribute8</t>
  </si>
  <si>
    <t>Position.genericAttribute7</t>
  </si>
  <si>
    <t>Position.genericAttribute6</t>
  </si>
  <si>
    <t>Position.genericAttribute5</t>
  </si>
  <si>
    <t>Position.genericAttribute4</t>
  </si>
  <si>
    <t>SM_O_KPI_New_Policy_Direct_Count_Monthly</t>
  </si>
  <si>
    <t>F_Agent_Active_Check</t>
  </si>
  <si>
    <t>CR2024 : #15831</t>
  </si>
  <si>
    <t>SM_O_KPI_IP_Personal_KPI_Monthly</t>
  </si>
  <si>
    <t>"ThÃ¡ng"</t>
  </si>
  <si>
    <t>"ADO Dashboard"</t>
  </si>
  <si>
    <t>Node Activity Rate - Monthly (Official)</t>
  </si>
  <si>
    <t>Node Activity Rate - Quarterly (Official)</t>
  </si>
  <si>
    <t>Position.name</t>
  </si>
  <si>
    <t>FVV_Qualified_Agent_NP_IP</t>
  </si>
  <si>
    <t>FVV_Qualified_Agent_NP_Count</t>
  </si>
  <si>
    <t>MDLT_FUNCTION(LTV_Dashboard_TA_Eligible_KPI, Period.endDate, "Qualified Agent - Monthly (Official)", Position.title.description) = 1</t>
  </si>
  <si>
    <t>ifThenElse(SM_O_KPI_IP_Personal_KPI_Monthly &gt;= FVV_Qualified_Agent_NP_IP AND SM_O_KPI_New_Policy_Direct_Count_Monthly &gt;= FVV_Qualified_Agent_NP_Count, 1, 0)</t>
  </si>
  <si>
    <t>Qualified Agent - Quarterly (Official)</t>
  </si>
  <si>
    <t>_round(PM_O_KPI_First_Year_Premium_Direct + PM_O_KPI_FYP_Adjustments_Direct, FVV_Currency_Rounding_Value)</t>
  </si>
  <si>
    <t>Annual First Year Premium - Monthly (Estimated)</t>
  </si>
  <si>
    <t>Month to Date Summation of Initial Premium</t>
  </si>
  <si>
    <t>"Sá»‘ HÄ KTM"</t>
  </si>
  <si>
    <t>SMR_O_KPI_New_Policy_Direct_Monthly</t>
  </si>
  <si>
    <t>SM_O_KPI_New_Policy_Direct_Monthly</t>
  </si>
  <si>
    <t>New Policy - Monthly (Official)</t>
  </si>
  <si>
    <t>_round(PM_O_KPI_New_Policy_IP_Direct + PM_O_KPI_New_Policy_IP_Adjustment_Direct, FVV_Currency_Rounding_Value)</t>
  </si>
  <si>
    <t>"O_KPI_New_Policy"</t>
  </si>
  <si>
    <t>PM_O_KPI_New_Policy_IP_Direct + PM_O_KPI_New_Policy_IP_Adjustment_Direct</t>
  </si>
  <si>
    <t>setUnitType(_round(PM_O_KPI_New_Policy_IP_Direct / FVV_1M_Dashboard, FVV_Currency_Rounding_Value_2), VND)</t>
  </si>
  <si>
    <t>New Policy Count - Monthly (Official)</t>
  </si>
  <si>
    <t>_round(PM_O_KPI_New_Policy_Count_Adjustment_Direct + PM_O_KPI_New_Policy_Count_Direct, FVV_Currency_Rounding_Value)</t>
  </si>
  <si>
    <t>PM_O_KPI_New_Policy_Count_Adjustment_Direct + PM_O_KPI_New_Policy_Count_Direct</t>
  </si>
  <si>
    <t>setUnitType(PM_O_KPI_New_Policy_Count_Direct, quantity)</t>
  </si>
  <si>
    <t>MDLT_FUNCTION(LT_Dashboard_Eligible_KPI, Period.endDate, "New Policy", "New Policy Count - Monthly (Official)") = 1</t>
  </si>
  <si>
    <t>ifThenElse((Position.manager.title.description = "Agency Manager") AND (Position.title.description = "Agent" OR Position.title.description = "Pre Unit Manager"), "Direct Unit", "Indirect Unit")</t>
  </si>
  <si>
    <t>_round(PM_O_KPI_Initial_Premium_Direct + PM_O_KPI_IP_Adjustments_Direct, FVV_Currency_Rounding_Value)</t>
  </si>
  <si>
    <t>Position.genericNumber1</t>
  </si>
  <si>
    <t>setUnitType(_round((PM_O_KPI_First_Year_Premium_Direct + PM_O_KPI_First_Year_Premium_Reporting + PM_O_KPI_First_Year_Premium_Recruiting + PM_O_KPI_FYP_Adjustments_Direct + PM_O_KPI_FYP_Adjustments_Reporting + PM_O_KPI_FYP_Adjustments_Recruiting) / FVV_1M_Dashboard, FVV_Currency_Rounding_Value_0), VND)</t>
  </si>
  <si>
    <t>Recruitment Completion Rate</t>
  </si>
  <si>
    <t>AFYP Completion Rate Monthly (Estimated)</t>
  </si>
  <si>
    <t>SMR_O_KPI_IP_Personal_KPI_Monthly</t>
  </si>
  <si>
    <t>Month to Date Summation of Initial Premium Personal KPI Value</t>
  </si>
  <si>
    <t>IP cÃ¡ nhÃ¢n thÃ¡ng</t>
  </si>
  <si>
    <t>"Initial Premium"</t>
  </si>
  <si>
    <t>"O_KPI_New_Qualified_Agent"</t>
  </si>
  <si>
    <t>"New Qualified Agent"</t>
  </si>
  <si>
    <t>SM_O_KPI_New_Agent</t>
  </si>
  <si>
    <t>SM_O_KPI_Working_Seniority</t>
  </si>
  <si>
    <t>Productivity - Monthly (Estimated)</t>
  </si>
  <si>
    <t>Policy Size - Monthly (Estimated)</t>
  </si>
  <si>
    <t>"O_KPI_New_Recruitment_FYP"</t>
  </si>
  <si>
    <t>"New Agent"</t>
  </si>
  <si>
    <t>"O_KPI_New_Agent"</t>
  </si>
  <si>
    <t>No of Activities - Monthly(Estimated)</t>
  </si>
  <si>
    <t>No of Activities ADO - Monthly(Estimated)</t>
  </si>
  <si>
    <t>Recruitment Count (Monthly)</t>
  </si>
  <si>
    <t>F_Check_INC_Incentive_Eligibility</t>
  </si>
  <si>
    <t>Position.genericDate1</t>
  </si>
  <si>
    <t>_round(PM_O_KPI_First_Year_Premium_Direct + PM_O_KPI_First_Year_Premium_Reporting + PM_O_KPI_First_Year_Premium_Recruiting + PM_O_KPI_FYP_Adjustments_Direct + PM_O_KPI_FYP_Adjustments_Reporting + PM_O_KPI_FYP_Adjustments_Recruiting, FVV_Currency_Rounding_Value)</t>
  </si>
  <si>
    <t>F_PUM_Check</t>
  </si>
  <si>
    <t>PM_O_KPI_First_Year_Premium_Reporting</t>
  </si>
  <si>
    <t>integer</t>
  </si>
  <si>
    <t>"Working Seniority"</t>
  </si>
  <si>
    <t>DATE_TO_STRING(Period.endDate)</t>
  </si>
  <si>
    <t>DATE_TO_STRING(Period.startDate)</t>
  </si>
  <si>
    <t>DATE_TO_STRING(Position.genericDate1)</t>
  </si>
  <si>
    <t>SMR_O_KPI_Working_Seniority</t>
  </si>
  <si>
    <t>Calculates the Working Seniority of Agent, PUM, UM, AM</t>
  </si>
  <si>
    <t>ThÃ¢m niÃªn lÃ m viá»‡c</t>
  </si>
  <si>
    <t>ifThenElse((Position.genericDate1 &gt; Period.endDate), 0, _deltaPeriod(Position.genericDate1, Period.endDate, month, true, true))</t>
  </si>
  <si>
    <t>"O_KPI_Seniority"</t>
  </si>
  <si>
    <t>Initial Premium - Semiannual (Official)</t>
  </si>
  <si>
    <t>Initial Premium - Annual (Official)</t>
  </si>
  <si>
    <t>Initial Premium - Period I (Official)</t>
  </si>
  <si>
    <t>Initial Premium - Period II (Official)</t>
  </si>
  <si>
    <t>Initial Premium - Period III (Official)</t>
  </si>
  <si>
    <t>SMR_O_KPI_New_Agent</t>
  </si>
  <si>
    <t>Determines if the Agent is New</t>
  </si>
  <si>
    <t>New Agent - Monthly(Official)</t>
  </si>
  <si>
    <t>ifThenElse(SM_O_KPI_Working_Seniority &lt;= FVV_Agent_Seniority_Threshold AND SM_O_KPI_Working_Seniority &gt; 0, 1, 0)</t>
  </si>
  <si>
    <t>FVV_Agent_Seniority_Threshold</t>
  </si>
  <si>
    <t>MDLT_FUNCTION(LTV_Dashboard_TA_Eligible_KPI, Period.endDate, "New Agent - Monthly(Official)", Position.title.description) = 1</t>
  </si>
  <si>
    <t>Initial Premium - Monthly (Provisional)</t>
  </si>
  <si>
    <t>Initial Premium - Monthly (Estimated)</t>
  </si>
  <si>
    <t>Active Agent - Monthly (Estimated)</t>
  </si>
  <si>
    <t>New Business Policy - Monthly (Estimated)</t>
  </si>
  <si>
    <t>Active Agent - Period I (Estimated)</t>
  </si>
  <si>
    <t>New Agent - Quarterly(Official)</t>
  </si>
  <si>
    <t>F_Recruitment_Code_Check = false</t>
  </si>
  <si>
    <t>Initial Premium - Period I (Estimated)</t>
  </si>
  <si>
    <t>First Year Premium - Period I (Estimated)</t>
  </si>
  <si>
    <t>C:\Users\MandarSontakke\OneDrive - OpenSymmetry\Desktop\Trial\O_INC_PUM_Outstanding_Bonus_2025 (1).xml</t>
  </si>
  <si>
    <t>BULK_COMMISSION</t>
  </si>
  <si>
    <t>Incentive</t>
  </si>
  <si>
    <t>IR_INC_PUM_Outstanding_Bonus</t>
  </si>
  <si>
    <t>CR2025 : P1 : Calculates Outstanding Bonus for PUM based on Initial Premium and First Year Premium</t>
  </si>
  <si>
    <t>F_PUM_Check AND F_Check_INC_Incentive_Eligibility</t>
  </si>
  <si>
    <t>I_INC_PUM_Outstanding_Bonus</t>
  </si>
  <si>
    <t>F_INC_Final_PUM_Outstanding_Bonus + (F_INC_Final_PUM_Outstanding_Bonus * FVV_INC_PUM_Outstanding_Monthly_Bonus_Adj_Multiplier) + FVV_INC_PUM_Outstanding_Monthly_Bonus_Adjustment</t>
  </si>
  <si>
    <t>DR_INC_PUM_Outstanding_Bonus_2025</t>
  </si>
  <si>
    <t>CR2025 : P1 : Calculates Outstanding Bonus of PUM</t>
  </si>
  <si>
    <t>DEPOSIT</t>
  </si>
  <si>
    <t>D_INC_PUM_Outstanding_Bonus_2025</t>
  </si>
  <si>
    <t>Deposit</t>
  </si>
  <si>
    <t>USD</t>
  </si>
  <si>
    <t>Release Immediately</t>
  </si>
  <si>
    <t>"Bonus"</t>
  </si>
  <si>
    <t>PMR_O_KPI_Initial_Premium_Direct</t>
  </si>
  <si>
    <t>Aggregates the direct credits for Initial Premium</t>
  </si>
  <si>
    <t>(Credit.creditType = Direct_O_KPI_IP) AND (Credit.genericBoolean1 = true)</t>
  </si>
  <si>
    <t>PRIMARY_MEASUREMENT</t>
  </si>
  <si>
    <t>PM_O_KPI_Initial_Premium_Direct</t>
  </si>
  <si>
    <t>Credit.value</t>
  </si>
  <si>
    <t>PMR_O_KPI_IP_Adjustments_Direct</t>
  </si>
  <si>
    <t>Aggregates the direct credits for Initial Premium Adjustment</t>
  </si>
  <si>
    <t>(Credit.creditType = Direct_O_KPI_IP_Adjustments)</t>
  </si>
  <si>
    <t>PM_O_KPI_IP_Adjustments_Direct</t>
  </si>
  <si>
    <t>PMR_O_KPI_New_Policy_IP_Direct</t>
  </si>
  <si>
    <t>(Credit.creditType = Direct_O_KPI_IP_NP) AND (Credit.genericBoolean1 = true)</t>
  </si>
  <si>
    <t>PM_O_KPI_New_Policy_IP_Direct</t>
  </si>
  <si>
    <t>PMR_O_KPI_New_Policy_IP_Adjustment_Direct</t>
  </si>
  <si>
    <t>(Credit.creditType = Direct_O_KPI_IP_NP_Adj)</t>
  </si>
  <si>
    <t>PM_O_KPI_New_Policy_IP_Adjustment_Direct</t>
  </si>
  <si>
    <t>PMR_O_KPI_New_Policy_Count_Direct</t>
  </si>
  <si>
    <t>PM_O_KPI_New_Policy_Count_Direct</t>
  </si>
  <si>
    <t>Credit.genericNumber6</t>
  </si>
  <si>
    <t>PMR_O_KPI_New_Policy_Count_Adjustment_Direct</t>
  </si>
  <si>
    <t>(Credit.creditType = Direct_O_KPI_NP_Count_Adj)</t>
  </si>
  <si>
    <t>PM_O_KPI_New_Policy_Count_Adjustment_Direct</t>
  </si>
  <si>
    <t>PMR_O_KPI_First_Year_Premium_Direct</t>
  </si>
  <si>
    <t>Aggregates the direct credits for First Year Premium</t>
  </si>
  <si>
    <t>(Credit.creditType = Direct_O_KPI_FYP) AND (Credit.genericBoolean1 = true)</t>
  </si>
  <si>
    <t>PM_O_KPI_First_Year_Premium_Direct</t>
  </si>
  <si>
    <t>PMR_O_KPI_First_Year_Premium_Reporting</t>
  </si>
  <si>
    <t>Aggregates the reporting rolled credits for First Year Premium</t>
  </si>
  <si>
    <t>(Credit.creditType = Rolled_O_KPI_FYP_Reporting) AND F_Roll_Credit_Before_Termination_Check</t>
  </si>
  <si>
    <t>Credit.value * Credit.genericNumber4</t>
  </si>
  <si>
    <t>PMR_O_KPI_First_Year_Premium_Recruiting</t>
  </si>
  <si>
    <t>Aggregates the recruiting rolled credits for First Year Premium</t>
  </si>
  <si>
    <t>(Credit.creditType = Rolled_O_KPI_FYP_Recruiting) AND (Credit.genericBoolean1 = true)</t>
  </si>
  <si>
    <t>PM_O_KPI_First_Year_Premium_Recruiting</t>
  </si>
  <si>
    <t>PMR_O_KPI_FYP_Adjustments_Direct</t>
  </si>
  <si>
    <t>Aggregates the direct credits for First Year Premium Adjustment</t>
  </si>
  <si>
    <t>(Credit.creditType = Direct_O_KPI_FYP_Adjustments)</t>
  </si>
  <si>
    <t>PM_O_KPI_FYP_Adjustments_Direct</t>
  </si>
  <si>
    <t>PMR_O_KPI_FYP_Adjustments_Reporting</t>
  </si>
  <si>
    <t>Aggregates the reporting rolled credits for First Year Premium Adjustment</t>
  </si>
  <si>
    <t>(Credit.creditType = Rolled_O_KPI_FYP_Adjustments_Reporting)</t>
  </si>
  <si>
    <t>PM_O_KPI_FYP_Adjustments_Reporting</t>
  </si>
  <si>
    <t>PMR_O_KPI_FYP_Adjustments_Recruiting</t>
  </si>
  <si>
    <t>Aggregates the recruiting rolled credits for First Year Premium Adjustment</t>
  </si>
  <si>
    <t>(Credit.creditType = Rolled_O_KPI_FYP_Adjustments_Recruiting)</t>
  </si>
  <si>
    <t>PM_O_KPI_FYP_Adjustments_Recruiting</t>
  </si>
  <si>
    <t>SMR_INC_New_Qualified_Agent_Rolled_To_PUM</t>
  </si>
  <si>
    <t>CR2025 : P1 : Rule used to roll new qualified agent to PUM</t>
  </si>
  <si>
    <t>SM_INC_New_Qualified_Agent_Rolled_To_PUM</t>
  </si>
  <si>
    <t>SM_INC_New_Qualified_Agent_Check_Monthly</t>
  </si>
  <si>
    <t>SMR_INC_Total_FYP_New_Recruitment_By_PUM</t>
  </si>
  <si>
    <t>CR2025 : P1 : Rule used to Calculate total FYP new qualified agent by PUM</t>
  </si>
  <si>
    <t>SM_INC_Total_FYP_New_Recruitment_By_PUM</t>
  </si>
  <si>
    <t>SM_INC_New_Recruitment_FYP_Check</t>
  </si>
  <si>
    <t>SMR_INC_New_Qualified_Agent_Check_Monthly</t>
  </si>
  <si>
    <t>CR2025 : P1 : Rule used to check new qualified agent</t>
  </si>
  <si>
    <t>F_Check_Agent_Eligibility_For_PUM_Incentives AND F_Check_INC_Incentive_Eligibility</t>
  </si>
  <si>
    <t>SMR_INC_New_Recruitment_FYP_Check</t>
  </si>
  <si>
    <t>CR2025 : P1 : Month to Date Summation of New Recruitment First Year Premium</t>
  </si>
  <si>
    <t>F_Recruitment_Code_Check = false AND F_Check_Agent_Eligibility_For_PUM_Incentives</t>
  </si>
  <si>
    <t>FV_Currency_Rounding_Value_8</t>
  </si>
  <si>
    <t>Fixed Value used for Currency Rounding to 8 decimals</t>
  </si>
  <si>
    <t>FV_Agent_Seniority_Threshold_12</t>
  </si>
  <si>
    <t>Fixed Value used for 12 month threshold for Agent Seniority</t>
  </si>
  <si>
    <t>FV_NP_Count</t>
  </si>
  <si>
    <t>FV_Qualified_Agent_NP_IP_Threshold</t>
  </si>
  <si>
    <t>FV_Currency_Rounding_Value_0</t>
  </si>
  <si>
    <t>Fixed Value used for Currency Rounding to nearest integer</t>
  </si>
  <si>
    <t>FV_1M_Dashboard</t>
  </si>
  <si>
    <t>Fixed Value to store 1M VND for dashboard</t>
  </si>
  <si>
    <t>FV_Currency_Rounding_Value_2</t>
  </si>
  <si>
    <t>Fixed Value used for Currency Rounding to 2 decimals</t>
  </si>
  <si>
    <t>FV_INC_PUM_Outstanding_Monthly_Bonus_Adj_Multiplier</t>
  </si>
  <si>
    <t>CR2025 Part1 P1 : Placeholder for PUM Outstanding bonus adj</t>
  </si>
  <si>
    <t>FV_INC_PUM_Outstanding_Monthly_Bonus_Adjustment</t>
  </si>
  <si>
    <t>FVV_Currency_Rounding_Value</t>
  </si>
  <si>
    <t>Placeholder for fixed value for currency rounding</t>
  </si>
  <si>
    <t>Scalar</t>
  </si>
  <si>
    <t>FixedValue</t>
  </si>
  <si>
    <t>Currency</t>
  </si>
  <si>
    <t>Quantity</t>
  </si>
  <si>
    <t>Placeholder for Threshold of Agent Seniority</t>
  </si>
  <si>
    <t>FVV_Currency_Rounding_Value_0</t>
  </si>
  <si>
    <t>Placeholder for fixed value for currency rounding to 0 decimal</t>
  </si>
  <si>
    <t>FVV_1M_Dashboard</t>
  </si>
  <si>
    <t>Fixed Value Variable to store 1M FV for dashboard rounding</t>
  </si>
  <si>
    <t>FVV_Currency_Rounding_Value_2</t>
  </si>
  <si>
    <t>FVV_INC_PUM_Outstanding_Monthly_Bonus_Adj_Multiplier</t>
  </si>
  <si>
    <t>CR2025 Part1 P1 : Placeholder for PUM Outstanding bonus adj multiplier</t>
  </si>
  <si>
    <t>FVV_INC_PUM_Outstanding_Monthly_Bonus_Adjustment</t>
  </si>
  <si>
    <t>F_Roll_Credit_Before_Termination_Check</t>
  </si>
  <si>
    <t>Formula used for rolling the credits till the termination date</t>
  </si>
  <si>
    <t>(Credit.compensationDate &lt;= Position.genericDate3) OR isNull(Position.genericDate3)</t>
  </si>
  <si>
    <t>Boolean</t>
  </si>
  <si>
    <t>Formula used to check whether agent is active or not</t>
  </si>
  <si>
    <t>(Position.genericAttribute1 = "CURR" AND isNull(Position.genericDate3)) OR (F_Check_CURR_Termination = false)</t>
  </si>
  <si>
    <t>For Dashboard : False : Personal KPI is applicable for AM,UM</t>
  </si>
  <si>
    <t>Formula to check Pre Unit Manager  title</t>
  </si>
  <si>
    <t>Position.title.description = "Pre Unit Manager"</t>
  </si>
  <si>
    <t>F_Recruitment_Code_Check</t>
  </si>
  <si>
    <t>Formula to check Recruitment Code is populated on position level or not</t>
  </si>
  <si>
    <t>isNull(Position.genericAttribute13)</t>
  </si>
  <si>
    <t>Formula to check movement policies training criteria</t>
  </si>
  <si>
    <t>queryForBoolean("Movement Training Check", -, -, -, -, -, -, -, -, false)</t>
  </si>
  <si>
    <t>Formula to check agent is not virtual agent</t>
  </si>
  <si>
    <t>F_Check_Agent_Class AND F_Check_Agent_Type</t>
  </si>
  <si>
    <t>F_Check_Agent_Class</t>
  </si>
  <si>
    <t>Formula To check Agent Class</t>
  </si>
  <si>
    <t>((Position.genericAttribute3 = "ChuyÃªn nghiá»‡p") OR (Position.genericAttribute3 = "BÃ¡n chuyÃªn nghiá»‡p"))</t>
  </si>
  <si>
    <t>F_Check_Agent_Type</t>
  </si>
  <si>
    <t>Formula to check agent type</t>
  </si>
  <si>
    <t>(Position.genericAttribute2 = "Äáº¡i lÃ½ CÃ¡ nhÃ¢n")</t>
  </si>
  <si>
    <t>F_Check_Agent_Unit_For_PUM_Incentives</t>
  </si>
  <si>
    <t>Formula to check if agent is recruited agent and shares same unit as recruiter PUM</t>
  </si>
  <si>
    <t>(Position.genericAttribute9 = queryForString("Recruiter_Unit_Name", -, -, -, -, -, -, , -, "NA"))</t>
  </si>
  <si>
    <t>F_Check_Agent_Division_For_PUM_Incentives</t>
  </si>
  <si>
    <t>Formula to check if agent is recruited agent and shares same division as recruiter PUM</t>
  </si>
  <si>
    <t>(Position.genericAttribute8 = queryForString("Recruiter_Division_Name", -, -, -, -, -, -, , -, "NA"))</t>
  </si>
  <si>
    <t>F_Check_Agent_Manager_For_PUM_Incentives</t>
  </si>
  <si>
    <t>Formula to check if agent is recruited agent and shares same manager as recruiter PUM</t>
  </si>
  <si>
    <t>(Position.manager.description = queryForString("Recruiter_Manager_Name", -, -, -, -, -, -, , -, "NA"))</t>
  </si>
  <si>
    <t>F_INC_Final_PUM_Outstanding_Bonus</t>
  </si>
  <si>
    <t>CR2025 Part1 P1 : Calculates Outstanding Bonus for PUM based on Total FYP and New Qualified Agent</t>
  </si>
  <si>
    <t>MDLT_FUNCTION(LTV_INC_PUM_Outstanding_Bonus, Period.endDate, SM_INC_Total_FYP_New_Recruitment_By_PUM, SM_INC_New_Qualified_Agent_Rolled_To_PUM)</t>
  </si>
  <si>
    <t>LTV_Dashboard_TA_Eligible_KPI</t>
  </si>
  <si>
    <t>Placeholder for TA eligible KPIs</t>
  </si>
  <si>
    <t>RelationalMDLT</t>
  </si>
  <si>
    <t>LTV_INC_PUM_Outstanding_Bonus</t>
  </si>
  <si>
    <t>CR2025 Part1 P1 : Table for calculate PUM Outstanding Bonus</t>
  </si>
  <si>
    <t>LT_INC_PUM_Outstanding_Bonus</t>
  </si>
  <si>
    <t>Lookup Table to determine eligible KPIs for TA and GA  Dashboards</t>
  </si>
  <si>
    <t>KPI</t>
  </si>
  <si>
    <t>String</t>
  </si>
  <si>
    <t>Initial Premium - Period I (Provisional)</t>
  </si>
  <si>
    <t>Persistency Rate - Monthly (Official)</t>
  </si>
  <si>
    <t>First Year Premium - Monthly (Estimated)</t>
  </si>
  <si>
    <t>First Year Commission - Monthly (Estimated)</t>
  </si>
  <si>
    <t>New Policy Count - Quarterly (Official)</t>
  </si>
  <si>
    <t>New Policy Count - SemiAnnually (Official)</t>
  </si>
  <si>
    <t>New Policy Count - Annually (Official)</t>
  </si>
  <si>
    <t>First Year Commission - Period I (Estimated)</t>
  </si>
  <si>
    <t>Premium Collection Rate - Monthly (Official)</t>
  </si>
  <si>
    <t>Premium Collection Rate - Quarterly (Official)</t>
  </si>
  <si>
    <t>Premium Collection Rate - Semiannual (Official)</t>
  </si>
  <si>
    <t>Premium Collection Rate - Annual (Official)</t>
  </si>
  <si>
    <t>Premium Collection Rate - Period I (Official)</t>
  </si>
  <si>
    <t>Premium Collection Rate - Period II (Official)</t>
  </si>
  <si>
    <t>Premium Collection Rate - Period III (Official)</t>
  </si>
  <si>
    <t>Unit/Division Size</t>
  </si>
  <si>
    <t>New Policy Count - Monthly (Estimated)</t>
  </si>
  <si>
    <t>New Policy Count - Period I (Estimated)</t>
  </si>
  <si>
    <t>FQM F3M - Quarterly (Official)</t>
  </si>
  <si>
    <t>FQM F3M - Semiannual (Official)</t>
  </si>
  <si>
    <t>FQM F3M - Annual (Official)</t>
  </si>
  <si>
    <t>FQM F3M - Period I (Official)</t>
  </si>
  <si>
    <t>No of Activities - Period I (Estimated)</t>
  </si>
  <si>
    <t>New Business Policy - Period I (Estimated)</t>
  </si>
  <si>
    <t>Productivity Growth - Monthly (Official)</t>
  </si>
  <si>
    <t>Recruitment Growth - Monthly (Official)</t>
  </si>
  <si>
    <t>AFYP - Monthly(Official)</t>
  </si>
  <si>
    <t>AFYP Growth - Month(Official)</t>
  </si>
  <si>
    <t>Node Activity - Monthly (Official)</t>
  </si>
  <si>
    <t>Recruitment Count Monthly ADO</t>
  </si>
  <si>
    <t>ADO Monthly Node Activity (Estimated)</t>
  </si>
  <si>
    <t>Activity Growth Monthly</t>
  </si>
  <si>
    <t>ADO Monthly Productivity (Estimated)</t>
  </si>
  <si>
    <t>Recruitment Growth Monthly ADO</t>
  </si>
  <si>
    <t>Policy Size - Monthly (Estimated) ADO</t>
  </si>
  <si>
    <t>Initial Premium - Monthly (Official)</t>
  </si>
  <si>
    <t>Qualified Activities - Monthly (Official)</t>
  </si>
  <si>
    <t>Node Activity - Quarterly (Official)</t>
  </si>
  <si>
    <t>FYC DU Quarter</t>
  </si>
  <si>
    <t>Title</t>
  </si>
  <si>
    <t>Agent</t>
  </si>
  <si>
    <t>Pre Unit Manager</t>
  </si>
  <si>
    <t>Unit Manager</t>
  </si>
  <si>
    <t>Agency Manager</t>
  </si>
  <si>
    <t>Business Department</t>
  </si>
  <si>
    <t>Branch</t>
  </si>
  <si>
    <t>Channel</t>
  </si>
  <si>
    <t>HO</t>
  </si>
  <si>
    <t>Region</t>
  </si>
  <si>
    <t>ADO</t>
  </si>
  <si>
    <t>Total FYP of New Agent</t>
  </si>
  <si>
    <t>Numeric Range</t>
  </si>
  <si>
    <t>New Qualified Agent</t>
  </si>
  <si>
    <t>O_INC_PUM_Outstanding_Bonus_2025</t>
  </si>
  <si>
    <t>CR2025 Part1 P1 : Component holds incentives for PUM Outstanding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</si>
</sst>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/m/yyyy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rgb="FF0000FF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4" fillId="4" borderId="0" xfId="0" applyFont="1" applyFill="1"/>
    <xf numFmtId="14" fontId="4" fillId="4" borderId="0" xfId="0" applyNumberFormat="1" applyFont="1" applyFill="1"/>
    <xf numFmtId="0" fontId="4" fillId="7" borderId="0" xfId="0" applyFont="1" applyFill="1"/>
    <xf numFmtId="0" fontId="3" fillId="5" borderId="0" xfId="0" applyFont="1" applyFill="1"/>
    <xf numFmtId="0" fontId="5" fillId="6" borderId="0" xfId="0" applyFont="1" applyFill="1"/>
    <xf numFmtId="0" fontId="5" fillId="5" borderId="0" xfId="0" applyFont="1" applyFill="1"/>
    <xf numFmtId="0" fontId="5" fillId="2" borderId="0" xfId="0" applyFont="1" applyFill="1"/>
    <xf numFmtId="0" fontId="5" fillId="8" borderId="0" xfId="0" applyFont="1" applyFill="1"/>
    <xf numFmtId="0" fontId="5" fillId="3" borderId="0" xfId="0" applyFont="1" applyFill="1"/>
    <xf numFmtId="14" fontId="4" fillId="7" borderId="0" xfId="0" applyNumberFormat="1" applyFont="1" applyFill="1"/>
    <xf numFmtId="0" fontId="3" fillId="6" borderId="0" xfId="0" applyFont="1" applyFill="1"/>
    <xf numFmtId="0" fontId="6" fillId="7" borderId="0" xfId="0" applyFont="1" applyFill="1"/>
    <xf numFmtId="164" fontId="5" fillId="5" borderId="0" xfId="0" applyNumberFormat="1" applyFont="1" applyFill="1"/>
    <xf numFmtId="164" fontId="3" fillId="5" borderId="0" xfId="0" applyNumberFormat="1" applyFont="1" applyFill="1"/>
    <xf numFmtId="0" fontId="1" fillId="9" borderId="0" xfId="0" applyFont="1" applyFill="1"/>
    <xf numFmtId="0" fontId="2" fillId="9" borderId="0" xfId="0" applyFont="1" applyFill="1"/>
    <xf numFmtId="0" fontId="0" fillId="9" borderId="0" xfId="0" applyFill="1"/>
    <xf numFmtId="0" fontId="4" fillId="4" borderId="1" xfId="0" applyFont="1" applyFill="1" applyBorder="1"/>
    <xf numFmtId="14" fontId="4" fillId="4" borderId="1" xfId="0" applyNumberFormat="1" applyFont="1" applyFill="1" applyBorder="1"/>
    <xf numFmtId="0" fontId="4" fillId="7" borderId="1" xfId="0" applyFont="1" applyFill="1" applyBorder="1"/>
    <xf numFmtId="14" fontId="4" fillId="7" borderId="1" xfId="0" applyNumberFormat="1" applyFont="1" applyFill="1" applyBorder="1"/>
    <xf numFmtId="0" fontId="5" fillId="0" borderId="1" xfId="0" applyFont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6" borderId="1" xfId="0" applyFont="1" applyFill="1" applyBorder="1"/>
    <xf numFmtId="164" fontId="5" fillId="6" borderId="1" xfId="0" applyNumberFormat="1" applyFont="1" applyFill="1" applyBorder="1"/>
    <xf numFmtId="14" fontId="5" fillId="0" borderId="1" xfId="0" applyNumberFormat="1" applyFont="1" applyBorder="1"/>
    <xf numFmtId="0" fontId="10" fillId="10" borderId="5" xfId="0" applyFont="1" applyFill="1" applyBorder="1"/>
    <xf numFmtId="0" fontId="10" fillId="10" borderId="6" xfId="0" applyFont="1" applyFill="1" applyBorder="1"/>
    <xf numFmtId="0" fontId="10" fillId="10" borderId="7" xfId="0" applyFont="1" applyFill="1" applyBorder="1"/>
    <xf numFmtId="3" fontId="5" fillId="6" borderId="0" xfId="0" applyNumberFormat="1" applyFont="1" applyFill="1"/>
    <xf numFmtId="0" fontId="5" fillId="5" borderId="8" xfId="0" applyFont="1" applyFill="1" applyBorder="1"/>
    <xf numFmtId="164" fontId="3" fillId="6" borderId="0" xfId="0" applyNumberFormat="1" applyFont="1" applyFill="1"/>
    <xf numFmtId="0" fontId="8" fillId="0" borderId="0" xfId="0" applyFont="1"/>
    <xf numFmtId="0" fontId="1" fillId="9" borderId="0" xfId="0" applyFont="1" applyFill="1" applyAlignment="1">
      <alignment horizontal="center"/>
    </xf>
    <xf numFmtId="0" fontId="8" fillId="9" borderId="0" xfId="0" applyFont="1" applyFill="1" applyAlignment="1">
      <alignment horizontal="left"/>
    </xf>
    <xf numFmtId="0" fontId="1" fillId="9" borderId="10" xfId="0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0" fontId="1" fillId="9" borderId="1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left"/>
    </xf>
    <xf numFmtId="0" fontId="8" fillId="11" borderId="13" xfId="0" applyFont="1" applyFill="1" applyBorder="1" applyAlignment="1">
      <alignment horizontal="left"/>
    </xf>
    <xf numFmtId="0" fontId="9" fillId="3" borderId="3" xfId="1" applyFont="1" applyFill="1" applyBorder="1" applyAlignment="1">
      <alignment horizontal="left"/>
    </xf>
    <xf numFmtId="0" fontId="8" fillId="11" borderId="14" xfId="0" applyFont="1" applyFill="1" applyBorder="1" applyAlignment="1">
      <alignment horizontal="left"/>
    </xf>
    <xf numFmtId="0" fontId="9" fillId="3" borderId="15" xfId="1" applyFont="1" applyFill="1" applyBorder="1" applyAlignment="1">
      <alignment horizontal="left"/>
    </xf>
    <xf numFmtId="0" fontId="8" fillId="11" borderId="16" xfId="0" applyFont="1" applyFill="1" applyBorder="1" applyAlignment="1">
      <alignment horizontal="left"/>
    </xf>
    <xf numFmtId="0" fontId="9" fillId="12" borderId="17" xfId="1" applyFont="1" applyFill="1" applyBorder="1" applyAlignment="1">
      <alignment horizontal="left"/>
    </xf>
    <xf numFmtId="0" fontId="9" fillId="12" borderId="5" xfId="1" applyFont="1" applyFill="1" applyBorder="1" applyAlignment="1">
      <alignment horizontal="left"/>
    </xf>
    <xf numFmtId="0" fontId="8" fillId="12" borderId="18" xfId="0" applyFont="1" applyFill="1" applyBorder="1" applyAlignment="1">
      <alignment horizontal="left"/>
    </xf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13" fillId="14" borderId="10" xfId="0" applyFont="1" applyFill="1" applyBorder="1" applyAlignment="1">
      <alignment horizontal="center"/>
    </xf>
    <xf numFmtId="0" fontId="13" fillId="14" borderId="11" xfId="0" applyFont="1" applyFill="1" applyBorder="1" applyAlignment="1">
      <alignment horizontal="center"/>
    </xf>
    <xf numFmtId="0" fontId="13" fillId="14" borderId="12" xfId="0" applyFont="1" applyFill="1" applyBorder="1" applyAlignment="1">
      <alignment horizontal="center"/>
    </xf>
    <xf numFmtId="0" fontId="8" fillId="15" borderId="0" xfId="0" applyFont="1" applyFill="1"/>
    <xf numFmtId="0" fontId="8" fillId="15" borderId="0" xfId="0" applyFont="1" applyFill="1" applyAlignment="1">
      <alignment horizontal="left"/>
    </xf>
    <xf numFmtId="0" fontId="4" fillId="7" borderId="0" xfId="0" applyFont="1" applyFill="1" applyAlignment="1">
      <alignment horizontal="left"/>
    </xf>
    <xf numFmtId="0" fontId="5" fillId="6" borderId="0" xfId="0" applyFont="1" applyFill="1" applyAlignment="1">
      <alignment horizontal="left"/>
    </xf>
    <xf numFmtId="0" fontId="5" fillId="6" borderId="0" xfId="0" applyFont="1" applyFill="1" applyAlignment="1">
      <alignment wrapText="1"/>
    </xf>
    <xf numFmtId="0" fontId="5" fillId="8" borderId="0" xfId="0" applyFont="1" applyFill="1" applyAlignment="1">
      <alignment wrapText="1"/>
    </xf>
    <xf numFmtId="0" fontId="5" fillId="3" borderId="0" xfId="0" applyFont="1" applyFill="1" applyAlignment="1">
      <alignment wrapText="1"/>
    </xf>
    <xf numFmtId="0" fontId="0" fillId="0" borderId="0" xfId="0" applyAlignment="1">
      <alignment horizontal="left" wrapText="1"/>
    </xf>
    <xf numFmtId="3" fontId="5" fillId="6" borderId="9" xfId="0" applyNumberFormat="1" applyFont="1" applyFill="1" applyBorder="1" applyAlignment="1">
      <alignment horizontal="left"/>
    </xf>
    <xf numFmtId="3" fontId="5" fillId="6" borderId="1" xfId="0" applyNumberFormat="1" applyFont="1" applyFill="1" applyBorder="1" applyAlignment="1">
      <alignment horizontal="left"/>
    </xf>
    <xf numFmtId="0" fontId="1" fillId="9" borderId="0" xfId="0" applyFont="1" applyFill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00"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</dxf>
  </dxfs>
  <tableStyles count="1" defaultTableStyle="TableStyleMedium2" defaultPivotStyle="PivotStyleLight16">
    <tableStyle name="Invisible" pivot="0" table="0" count="0" xr9:uid="{F7B87463-37E8-4334-BAE4-67B715F0D5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Live Dashboard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4200000" sx="99000" sy="99000" algn="ctr" rotWithShape="0">
                  <a:srgbClr val="92D05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FA9-4653-8DA6-E9BC2D4B939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CFA9-4653-8DA6-E9BC2D4B9392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FA9-4653-8DA6-E9BC2D4B9392}"/>
              </c:ext>
            </c:extLst>
          </c:dPt>
          <c:cat>
            <c:strRef>
              <c:f>Summary!$C$8:$C$13</c:f>
              <c:strCache>
                <c:ptCount val="6"/>
                <c:pt idx="0">
                  <c:v>Plans</c:v>
                </c:pt>
                <c:pt idx="1">
                  <c:v>Components</c:v>
                </c:pt>
                <c:pt idx="2">
                  <c:v>Creditrules</c:v>
                </c:pt>
                <c:pt idx="3">
                  <c:v>Measurements</c:v>
                </c:pt>
                <c:pt idx="4">
                  <c:v>Incentives</c:v>
                </c:pt>
                <c:pt idx="5">
                  <c:v>Deposits</c:v>
                </c:pt>
              </c:strCache>
            </c:strRef>
          </c:cat>
          <c:val>
            <c:numRef>
              <c:f>Summary!$D$8:$D$13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9-4653-8DA6-E9BC2D4B9392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Summary!$C$8:$C$13</c:f>
              <c:strCache>
                <c:ptCount val="6"/>
                <c:pt idx="0">
                  <c:v>Plans</c:v>
                </c:pt>
                <c:pt idx="1">
                  <c:v>Components</c:v>
                </c:pt>
                <c:pt idx="2">
                  <c:v>Creditrules</c:v>
                </c:pt>
                <c:pt idx="3">
                  <c:v>Measurements</c:v>
                </c:pt>
                <c:pt idx="4">
                  <c:v>Incentives</c:v>
                </c:pt>
                <c:pt idx="5">
                  <c:v>Deposits</c:v>
                </c:pt>
              </c:strCache>
            </c:strRef>
          </c:cat>
          <c:val>
            <c:numRef>
              <c:f>Summary!$E$8:$E$13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CFA9-4653-8DA6-E9BC2D4B9392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Summary!$C$8:$C$13</c:f>
              <c:strCache>
                <c:ptCount val="6"/>
                <c:pt idx="0">
                  <c:v>Plans</c:v>
                </c:pt>
                <c:pt idx="1">
                  <c:v>Components</c:v>
                </c:pt>
                <c:pt idx="2">
                  <c:v>Creditrules</c:v>
                </c:pt>
                <c:pt idx="3">
                  <c:v>Measurements</c:v>
                </c:pt>
                <c:pt idx="4">
                  <c:v>Incentives</c:v>
                </c:pt>
                <c:pt idx="5">
                  <c:v>Deposits</c:v>
                </c:pt>
              </c:strCache>
            </c:strRef>
          </c:cat>
          <c:val>
            <c:numRef>
              <c:f>Summary!$F$8:$F$13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A9-4653-8DA6-E9BC2D4B9392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Summary!$C$8:$C$13</c:f>
              <c:strCache>
                <c:ptCount val="6"/>
                <c:pt idx="0">
                  <c:v>Plans</c:v>
                </c:pt>
                <c:pt idx="1">
                  <c:v>Components</c:v>
                </c:pt>
                <c:pt idx="2">
                  <c:v>Creditrules</c:v>
                </c:pt>
                <c:pt idx="3">
                  <c:v>Measurements</c:v>
                </c:pt>
                <c:pt idx="4">
                  <c:v>Incentives</c:v>
                </c:pt>
                <c:pt idx="5">
                  <c:v>Deposits</c:v>
                </c:pt>
              </c:strCache>
            </c:strRef>
          </c:cat>
          <c:val>
            <c:numRef>
              <c:f>Summary!$G$8:$G$13</c:f>
              <c:numCache>
                <c:formatCode>General</c:formatCode>
                <c:ptCount val="6"/>
                <c:pt idx="0">
                  <c:v>2</c:v>
                </c:pt>
                <c:pt idx="1">
                  <c:v>0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A9-4653-8DA6-E9BC2D4B9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13839663"/>
        <c:axId val="1013841103"/>
        <c:axId val="0"/>
      </c:bar3DChart>
      <c:catAx>
        <c:axId val="101383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41103"/>
        <c:crosses val="autoZero"/>
        <c:auto val="1"/>
        <c:lblAlgn val="ctr"/>
        <c:lblOffset val="100"/>
        <c:noMultiLvlLbl val="0"/>
      </c:catAx>
      <c:valAx>
        <c:axId val="101384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9663"/>
        <c:crosses val="autoZero"/>
        <c:crossBetween val="between"/>
      </c:valAx>
      <c:spPr>
        <a:noFill/>
        <a:ln>
          <a:noFill/>
          <a:round/>
        </a:ln>
        <a:effectLst>
          <a:glow rad="63500">
            <a:schemeClr val="accent6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cap="rnd">
      <a:solidFill>
        <a:schemeClr val="accent1">
          <a:shade val="15000"/>
        </a:schemeClr>
      </a:solidFill>
    </a:ln>
    <a:effectLst>
      <a:glow rad="63500">
        <a:schemeClr val="accent1">
          <a:alpha val="41000"/>
        </a:schemeClr>
      </a:glow>
      <a:outerShdw blurRad="63500" sx="102000" sy="102000" algn="ctr" rotWithShape="0">
        <a:srgbClr val="FF0000">
          <a:alpha val="40000"/>
        </a:srgbClr>
      </a:outerShdw>
    </a:effectLst>
    <a:scene3d>
      <a:camera prst="orthographicFront"/>
      <a:lightRig rig="threePt" dir="t"/>
    </a:scene3d>
    <a:sp3d>
      <a:bevelT prst="angle"/>
      <a:bevelB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2</xdr:row>
      <xdr:rowOff>95250</xdr:rowOff>
    </xdr:from>
    <xdr:to>
      <xdr:col>3</xdr:col>
      <xdr:colOff>342900</xdr:colOff>
      <xdr:row>4</xdr:row>
      <xdr:rowOff>107950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977900" y="895350"/>
          <a:ext cx="1631950" cy="381000"/>
          <a:chOff x="977900" y="895350"/>
          <a:chExt cx="1631950" cy="3810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77900" y="895350"/>
            <a:ext cx="1631950" cy="381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5000"/>
                  <a:lumOff val="95000"/>
                </a:schemeClr>
              </a:gs>
              <a:gs pos="74000">
                <a:schemeClr val="accent2">
                  <a:lumMod val="45000"/>
                  <a:lumOff val="55000"/>
                </a:schemeClr>
              </a:gs>
              <a:gs pos="83000">
                <a:schemeClr val="accent2">
                  <a:lumMod val="45000"/>
                  <a:lumOff val="55000"/>
                </a:schemeClr>
              </a:gs>
              <a:gs pos="100000">
                <a:schemeClr val="accent2">
                  <a:lumMod val="30000"/>
                  <a:lumOff val="70000"/>
                </a:schemeClr>
              </a:gs>
            </a:gsLst>
            <a:lin ang="54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 bwMode="auto">
              <a:xfrm>
                <a:off x="1206500" y="984251"/>
                <a:ext cx="1123950" cy="203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Source File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5</xdr:col>
      <xdr:colOff>222250</xdr:colOff>
      <xdr:row>2</xdr:row>
      <xdr:rowOff>82550</xdr:rowOff>
    </xdr:from>
    <xdr:to>
      <xdr:col>6</xdr:col>
      <xdr:colOff>438150</xdr:colOff>
      <xdr:row>4</xdr:row>
      <xdr:rowOff>95250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498850" y="882650"/>
          <a:ext cx="1631950" cy="381000"/>
          <a:chOff x="3848100" y="882650"/>
          <a:chExt cx="1631950" cy="3810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848100" y="882650"/>
            <a:ext cx="1631950" cy="3810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5000"/>
                  <a:lumOff val="95000"/>
                </a:schemeClr>
              </a:gs>
              <a:gs pos="74000">
                <a:schemeClr val="accent5">
                  <a:lumMod val="45000"/>
                  <a:lumOff val="55000"/>
                </a:schemeClr>
              </a:gs>
              <a:gs pos="83000">
                <a:schemeClr val="accent5">
                  <a:lumMod val="45000"/>
                  <a:lumOff val="55000"/>
                </a:schemeClr>
              </a:gs>
              <a:gs pos="100000">
                <a:schemeClr val="accent5">
                  <a:lumMod val="30000"/>
                  <a:lumOff val="70000"/>
                </a:schemeClr>
              </a:gs>
            </a:gsLst>
            <a:lin ang="54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4057650" y="965200"/>
                <a:ext cx="1225550" cy="222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Extract Data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260350</xdr:colOff>
      <xdr:row>0</xdr:row>
      <xdr:rowOff>119165</xdr:rowOff>
    </xdr:from>
    <xdr:to>
      <xdr:col>6</xdr:col>
      <xdr:colOff>952499</xdr:colOff>
      <xdr:row>0</xdr:row>
      <xdr:rowOff>481115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2821" y="119165"/>
          <a:ext cx="4741207" cy="36195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glow rad="63500">
            <a:schemeClr val="accent1">
              <a:alpha val="41000"/>
            </a:schemeClr>
          </a:glow>
          <a:outerShdw blurRad="57150" dist="19050" dir="7200000" sx="99000" sy="99000" algn="ctr" rotWithShape="0">
            <a:srgbClr val="000000">
              <a:alpha val="21000"/>
            </a:srgbClr>
          </a:outerShdw>
          <a:reflection blurRad="12700" endPos="49000" dir="5400000" sy="-100000" algn="bl" rotWithShape="0"/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tx1"/>
              </a:solidFill>
            </a:rPr>
            <a:t>SAP Commissions Design</a:t>
          </a:r>
          <a:r>
            <a:rPr lang="en-US" sz="1200" b="1" baseline="0">
              <a:solidFill>
                <a:schemeClr val="tx1"/>
              </a:solidFill>
            </a:rPr>
            <a:t> Tool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406026</xdr:colOff>
      <xdr:row>13</xdr:row>
      <xdr:rowOff>171823</xdr:rowOff>
    </xdr:from>
    <xdr:to>
      <xdr:col>5</xdr:col>
      <xdr:colOff>196476</xdr:colOff>
      <xdr:row>15</xdr:row>
      <xdr:rowOff>184524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672976" y="2908673"/>
          <a:ext cx="800100" cy="381001"/>
          <a:chOff x="4146550" y="3111500"/>
          <a:chExt cx="1631950" cy="381000"/>
        </a:xfrm>
        <a:effectLst>
          <a:glow rad="63500">
            <a:schemeClr val="accent2">
              <a:lumMod val="20000"/>
              <a:lumOff val="80000"/>
              <a:alpha val="40000"/>
            </a:schemeClr>
          </a:glow>
        </a:effectLst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46550" y="3111500"/>
            <a:ext cx="1631950" cy="381000"/>
          </a:xfrm>
          <a:prstGeom prst="roundRect">
            <a:avLst/>
          </a:prstGeom>
          <a:pattFill prst="lgCheck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solidFill>
              <a:schemeClr val="accent1">
                <a:shade val="15000"/>
                <a:alpha val="93000"/>
              </a:schemeClr>
            </a:solidFill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57150" dist="19050" dir="5400000" algn="ctr" rotWithShape="0">
              <a:srgbClr val="000000">
                <a:alpha val="63000"/>
              </a:srgbClr>
            </a:outerShdw>
            <a:reflection blurRad="25400" stA="40000" endPos="65000" dist="50800" dir="5400000" sy="-100000" algn="bl" rotWithShape="0"/>
          </a:effectLst>
          <a:scene3d>
            <a:camera prst="orthographicFront"/>
            <a:lightRig rig="threePt" dir="t"/>
          </a:scene3d>
          <a:sp3d prstMaterial="plastic"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4419598" y="3168650"/>
                <a:ext cx="1041401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Clone Workbook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307975</xdr:colOff>
      <xdr:row>1</xdr:row>
      <xdr:rowOff>12700</xdr:rowOff>
    </xdr:from>
    <xdr:to>
      <xdr:col>13</xdr:col>
      <xdr:colOff>196850</xdr:colOff>
      <xdr:row>13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1054100</xdr:colOff>
      <xdr:row>13</xdr:row>
      <xdr:rowOff>171450</xdr:rowOff>
    </xdr:from>
    <xdr:to>
      <xdr:col>6</xdr:col>
      <xdr:colOff>438150</xdr:colOff>
      <xdr:row>16</xdr:row>
      <xdr:rowOff>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330700" y="2908300"/>
          <a:ext cx="800100" cy="381001"/>
          <a:chOff x="4146550" y="3111500"/>
          <a:chExt cx="1631950" cy="381000"/>
        </a:xfrm>
        <a:effectLst>
          <a:glow rad="63500">
            <a:schemeClr val="accent2">
              <a:lumMod val="20000"/>
              <a:lumOff val="80000"/>
              <a:alpha val="40000"/>
            </a:schemeClr>
          </a:glow>
        </a:effectLst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146550" y="3111500"/>
            <a:ext cx="1631950" cy="381000"/>
          </a:xfrm>
          <a:prstGeom prst="roundRect">
            <a:avLst/>
          </a:prstGeom>
          <a:pattFill prst="lgCheck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solidFill>
              <a:schemeClr val="accent1">
                <a:shade val="15000"/>
                <a:alpha val="93000"/>
              </a:schemeClr>
            </a:solidFill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57150" dist="19050" dir="5400000" algn="ctr" rotWithShape="0">
              <a:srgbClr val="000000">
                <a:alpha val="63000"/>
              </a:srgbClr>
            </a:outerShdw>
            <a:reflection blurRad="25400" stA="40000" endPos="65000" dist="50800" dir="5400000" sy="-100000" algn="bl" rotWithShape="0"/>
          </a:effectLst>
          <a:scene3d>
            <a:camera prst="orthographicFront"/>
            <a:lightRig rig="threePt" dir="t"/>
          </a:scene3d>
          <a:sp3d prstMaterial="plastic"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2" name="Button 4" hidden="1">
            <a:extLst>
              <a:ext uri="{63B3BB69-23CF-44E3-9099-C40C66FF867C}">
                <a14:compatExt xmlns:a14="http://schemas.microsoft.com/office/drawing/2010/main" spid="_x0000_s2052"/>
              </a:ext>
              <a:ext uri="{FF2B5EF4-FFF2-40B4-BE49-F238E27FC236}">
                <a16:creationId xmlns:a16="http://schemas.microsoft.com/office/drawing/2014/main" id="{00000000-0008-0000-0000-000004080000}"/>
              </a:ext>
            </a:extLst>
          </xdr:cNvPr>
          <xdr:cNvSpPr/>
        </xdr:nvSpPr>
        <xdr:spPr bwMode="auto">
          <a:xfrm>
            <a:off x="4419598" y="3168650"/>
            <a:ext cx="1041401" cy="2540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36576" rIns="36576" bIns="36576" anchor="ctr" upright="1"/>
          <a:lstStyle/>
          <a:p>
            <a:pPr algn="ctr" rtl="0">
              <a:defRPr sz="1000"/>
            </a:pPr>
            <a:r>
              <a:rPr lang="en-US" sz="1100" b="0" i="0" u="none" strike="noStrike" baseline="0">
                <a:solidFill>
                  <a:srgbClr val="0000FF"/>
                </a:solidFill>
                <a:latin typeface="Calibri"/>
                <a:ea typeface="Calibri"/>
                <a:cs typeface="Calibri"/>
              </a:rPr>
              <a:t>Clone Workbook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95250</xdr:rowOff>
        </xdr:from>
        <xdr:to>
          <xdr:col>5</xdr:col>
          <xdr:colOff>469900</xdr:colOff>
          <xdr:row>6</xdr:row>
          <xdr:rowOff>114300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Clone to New Excel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B36567-B2D8-433D-B34F-E96C5D005B2A}" name="PLANS" displayName="PLANS" ref="A1:H2" insertRow="1" totalsRowShown="0" headerRowDxfId="299" dataDxfId="298">
  <autoFilter ref="A1:H2" xr:uid="{DF498015-93A2-45EA-8FFD-8A452845FCD3}"/>
  <tableColumns count="8">
    <tableColumn id="1" xr3:uid="{45359A85-371C-4C87-B9AA-84D93969B5C2}" name="Calendar" dataDxfId="297"/>
    <tableColumn id="2" xr3:uid="{DC6AC298-96FB-49D0-974D-94EEAC7DCDDE}" name="Name" dataDxfId="296"/>
    <tableColumn id="8" xr3:uid="{EC0C87FC-24D5-402E-A7A9-302E28AB20CB}" name="Description" dataDxfId="295"/>
    <tableColumn id="3" xr3:uid="{A10822B1-A5DC-4B1D-84F2-E24AA4FDC536}" name="Start Date" dataDxfId="294"/>
    <tableColumn id="4" xr3:uid="{0AAE8B4E-E953-46F9-94E8-47BAEF978A5D}" name="End Date" dataDxfId="293"/>
    <tableColumn id="5" xr3:uid="{A83FD481-B83A-46A8-8BF6-C4BD9902C46C}" name="Component" dataDxfId="292"/>
    <tableColumn id="6" xr3:uid="{78707262-72AA-41C0-AD6B-177C43694A17}" name="Component Start" dataDxfId="291"/>
    <tableColumn id="7" xr3:uid="{8485725D-E017-4839-8F57-CEF25F5139C7}" name="Component End" dataDxfId="290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3C7161-044F-47B5-8D28-448B8B35E280}" name="COMPONENTS" displayName="COMPONENTS" ref="A1:I7" totalsRowShown="0" headerRowDxfId="289" dataDxfId="288">
  <autoFilter ref="A1:I7" xr:uid="{0E6C0F77-6DB4-435E-B7BC-8B549A87F426}"/>
  <tableColumns count="9">
    <tableColumn id="1" xr3:uid="{9BFE147E-5FB7-4D31-9482-FB6A9CFEE0F9}" name="Calendar" dataDxfId="287"/>
    <tableColumn id="2" xr3:uid="{495EE028-5870-41CD-A1E4-420199B8B377}" name="Name" dataDxfId="286"/>
    <tableColumn id="6" xr3:uid="{5B1A63D2-F7DF-46B7-B383-2177912E5A97}" name="Description" dataDxfId="285"/>
    <tableColumn id="3" xr3:uid="{1EDD9F61-9E98-4EF7-9818-25983B39E821}" name="Start Date" dataDxfId="284"/>
    <tableColumn id="4" xr3:uid="{7BE0AAF9-1190-4E3D-9C00-13CEC5843EB0}" name="End Date" dataDxfId="283"/>
    <tableColumn id="5" xr3:uid="{1785C2B2-D675-428C-89EE-2B29E0EBFEAC}" name="Rule" dataDxfId="282"/>
    <tableColumn id="23" xr3:uid="{894D0655-3AD3-4DD7-954A-E370C92A85C2}" name="Rule Type" dataDxfId="281"/>
    <tableColumn id="24" xr3:uid="{95DD64EA-A304-4AC7-A11C-2C4EDFEA76BA}" name="Rule Start" dataDxfId="280"/>
    <tableColumn id="25" xr3:uid="{B945BA8A-8560-4683-9A50-EE43CAA67AF0}" name="Rule End" dataDxfId="2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54852A-FF3A-4484-A311-17F562B5D455}" name="CREDITRULES" displayName="CREDITRULES" ref="A1:BD2" insertRow="1" totalsRowShown="0" headerRowDxfId="278" dataDxfId="277">
  <autoFilter ref="A1:BD2" xr:uid="{F7C3DFED-F8C5-41E2-AEBB-825D673F0C75}"/>
  <tableColumns count="56">
    <tableColumn id="1" xr3:uid="{6C26893B-AA5B-4563-80BC-A95E866EFF35}" name="Calendar" dataDxfId="276"/>
    <tableColumn id="2" xr3:uid="{8CFF530F-3304-472B-9F6B-DA794DFC72DF}" name="Name" dataDxfId="275"/>
    <tableColumn id="53" xr3:uid="{5CD5C323-AFCD-4FD2-AF54-4ACDA0AEB50A}" name="Description" dataDxfId="274"/>
    <tableColumn id="3" xr3:uid="{7F8CA895-60E7-46FC-B44D-B1E96D3A11A5}" name="Start Date" dataDxfId="273"/>
    <tableColumn id="4" xr3:uid="{7258778D-01E2-44B5-8733-2D6296588B4B}" name="End Date" dataDxfId="272"/>
    <tableColumn id="72" xr3:uid="{6848DB18-4648-4668-80D9-2E384DFB1FD2}" name="Condition" dataDxfId="271"/>
    <tableColumn id="73" xr3:uid="{F4CDEE7C-4111-4216-A95E-CB603AB68FD2}" name="Event Type" dataDxfId="270"/>
    <tableColumn id="74" xr3:uid="{607F4ADD-2C43-4ABA-8F8F-4EBC34E74C0A}" name="Rule Type" dataDxfId="269"/>
    <tableColumn id="5" xr3:uid="{04BC1C73-7EAF-4BFB-9067-E954AC82E38E}" name="Output Name" dataDxfId="268"/>
    <tableColumn id="6" xr3:uid="{090ABEB0-36BA-44C0-AEE3-219C56D4E22E}" name="Display Name" dataDxfId="267"/>
    <tableColumn id="7" xr3:uid="{DF773851-57A7-4C92-8A75-B210612D4638}" name="Reportable" dataDxfId="266"/>
    <tableColumn id="8" xr3:uid="{CFF41681-F606-49AD-9B7E-79CB00C11CDD}" name="Period Type" dataDxfId="265"/>
    <tableColumn id="9" xr3:uid="{41600742-7354-43F6-849C-B28A871E5A05}" name="Type" dataDxfId="264"/>
    <tableColumn id="10" xr3:uid="{AB19B3A3-A4BF-4F15-8F6E-C26323C06239}" name="Unit Type" dataDxfId="263"/>
    <tableColumn id="11" xr3:uid="{7AACE12D-220A-47CB-BC5A-7884376D1D51}" name="Value" dataDxfId="262"/>
    <tableColumn id="12" xr3:uid="{FF8C955E-DB00-433E-B97E-C273C6997BB0}" name="Hold" dataDxfId="261"/>
    <tableColumn id="13" xr3:uid="{F61E5679-4521-4D1A-8A46-83EF6F2F08E5}" name="Release" dataDxfId="260"/>
    <tableColumn id="14" xr3:uid="{B54D3A0C-0480-4DC9-8B1E-64DAA07FB372}" name="Conditions" dataDxfId="259"/>
    <tableColumn id="15" xr3:uid="{685AB5E1-4F50-4463-9845-0EA6AC0CC676}" name="Credit Type" dataDxfId="258"/>
    <tableColumn id="16" xr3:uid="{77BC8636-8532-4018-8329-069A8ED93CC3}" name="Duplicate" dataDxfId="257"/>
    <tableColumn id="17" xr3:uid="{0A0C591E-2CDA-4C67-A880-5C2CA063E146}" name="Roll Up" dataDxfId="256"/>
    <tableColumn id="18" xr3:uid="{52F1C768-1257-4FD7-A885-246F0604CCBF}" name="Roll Date" dataDxfId="255"/>
    <tableColumn id="19" xr3:uid="{9DB91BEA-8F5D-45E8-9109-003D80FEF843}" name="GA1" dataDxfId="254"/>
    <tableColumn id="20" xr3:uid="{989D9EB9-8C91-4386-86A3-066AB29868E8}" name="GA2" dataDxfId="253"/>
    <tableColumn id="21" xr3:uid="{D0C4C5BC-6929-4A92-A187-6B2AF551ACD1}" name="GA3" dataDxfId="252"/>
    <tableColumn id="22" xr3:uid="{F6D015C1-5EFD-4216-B33D-115F8C4355A9}" name="GA4" dataDxfId="251"/>
    <tableColumn id="23" xr3:uid="{5128AD84-FB35-4569-BF73-4845B644806D}" name="GA5" dataDxfId="250"/>
    <tableColumn id="24" xr3:uid="{BFD607BE-F866-4720-9891-476A793137E8}" name="GA6" dataDxfId="249"/>
    <tableColumn id="25" xr3:uid="{071D0D6C-869E-4526-AF69-4B7A6ED4EF4A}" name="GA7" dataDxfId="248"/>
    <tableColumn id="26" xr3:uid="{8779179E-0F5F-41E6-A085-A910610CE17E}" name="GA8" dataDxfId="247"/>
    <tableColumn id="27" xr3:uid="{2C472B26-7F6C-4397-819C-F464B67C4C2C}" name="GA9" dataDxfId="246"/>
    <tableColumn id="28" xr3:uid="{BB15CD08-BE77-405A-8551-9F30CA6CD075}" name="GA10" dataDxfId="245"/>
    <tableColumn id="29" xr3:uid="{DA44A72A-B7ED-429E-8806-FC4BEFEBCF62}" name="GA11" dataDxfId="244"/>
    <tableColumn id="30" xr3:uid="{A1060FD3-A060-4097-B6B0-FEC181B03061}" name="GA12" dataDxfId="243"/>
    <tableColumn id="31" xr3:uid="{100DDE15-E3D3-4BFA-A82D-F2195CECE2CC}" name="GA13" dataDxfId="242"/>
    <tableColumn id="32" xr3:uid="{9A2BFBE4-3E23-4BEC-B2A0-90F097109BC7}" name="GA14" dataDxfId="241"/>
    <tableColumn id="33" xr3:uid="{7CEB691A-D07C-4103-A5EA-A8DFFA2C6178}" name="GA15" dataDxfId="240"/>
    <tableColumn id="34" xr3:uid="{F68A6A1C-4AF6-4891-8BA7-7AA9FE0D2F1F}" name="GA16" dataDxfId="239"/>
    <tableColumn id="35" xr3:uid="{591CBD5C-DBFA-4360-9B11-D38D818EECF3}" name="GN1" dataDxfId="238"/>
    <tableColumn id="36" xr3:uid="{194E60E0-10CB-4E0E-9496-71748D102FE7}" name="GN2" dataDxfId="237"/>
    <tableColumn id="37" xr3:uid="{F188B54C-FA38-4003-90DE-57E55070B81D}" name="GN3" dataDxfId="236"/>
    <tableColumn id="38" xr3:uid="{F690DB67-5B88-4A26-A32F-2E8438DE0B69}" name="GN4" dataDxfId="235"/>
    <tableColumn id="39" xr3:uid="{B0B4C174-4E8B-4E75-BD64-8E94AB3100D4}" name="GN5" dataDxfId="234"/>
    <tableColumn id="40" xr3:uid="{17628C1A-F4AB-4341-B064-5B95C671ACFA}" name="GN6" dataDxfId="233"/>
    <tableColumn id="41" xr3:uid="{27A9E796-889A-43B3-8989-D693F7FDC6BD}" name="GD1" dataDxfId="232"/>
    <tableColumn id="42" xr3:uid="{0F2B3A19-E09C-431F-A4CF-EFBC8CE9CD38}" name="GD2" dataDxfId="231"/>
    <tableColumn id="43" xr3:uid="{54720129-15D2-4DDE-91F0-8EE5882C42FA}" name="GD3" dataDxfId="230"/>
    <tableColumn id="44" xr3:uid="{17D2CB92-0FE1-4A9E-8F5C-9FEA885B57DD}" name="GD4" dataDxfId="229"/>
    <tableColumn id="45" xr3:uid="{23D782C9-1BB1-4D82-AF0A-3CCE8C9CAAB0}" name="GD5" dataDxfId="228"/>
    <tableColumn id="46" xr3:uid="{94A89EC0-838F-425F-965C-0CCFB514A289}" name="GD6" dataDxfId="227"/>
    <tableColumn id="47" xr3:uid="{3DD3CD8F-6019-4863-B639-9F4F680102DB}" name="GB1" dataDxfId="226"/>
    <tableColumn id="48" xr3:uid="{FB9ACBB6-1A51-4DFE-9F85-1B7FE872C4B1}" name="GB2" dataDxfId="225"/>
    <tableColumn id="49" xr3:uid="{3D6B8DB3-F7B1-45F7-8ACB-D418CF7F3708}" name="GB3" dataDxfId="224"/>
    <tableColumn id="50" xr3:uid="{55CCA2F0-E2A8-4004-A4CD-E8D0940D4F5C}" name="GB4" dataDxfId="223"/>
    <tableColumn id="51" xr3:uid="{44D1E5BB-5F55-4B35-8AE0-294553BC2268}" name="GB5" dataDxfId="222"/>
    <tableColumn id="52" xr3:uid="{FB9AED42-DA21-4D54-84D3-2E0D3F6EF4D2}" name="GB6" dataDxfId="22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D3D782-72B5-4ABA-AE84-B620C5AAD5E6}" name="MEASUREMENTS" displayName="MEASUREMENTS" ref="A1:AV22" totalsRowShown="0" headerRowDxfId="220" dataDxfId="219">
  <autoFilter ref="A1:AV22" xr:uid="{31D3D782-72B5-4ABA-AE84-B620C5AAD5E6}"/>
  <tableColumns count="48">
    <tableColumn id="1" xr3:uid="{AFA01422-A443-45F5-8330-CF0FF05F5BDC}" name="Calendar" dataDxfId="218"/>
    <tableColumn id="2" xr3:uid="{65A45602-FA78-4727-8B52-0F1B2E558AC4}" name="Name" dataDxfId="217"/>
    <tableColumn id="14" xr3:uid="{907E5447-BFED-4DEB-9E9D-7C56141C49A2}" name="Description" dataDxfId="216"/>
    <tableColumn id="3" xr3:uid="{F7771C14-2EC1-4D00-97DC-F49EB797E5EF}" name="Start Date" dataDxfId="215"/>
    <tableColumn id="4" xr3:uid="{8E480758-C514-429E-A644-49FDE4A93DA6}" name="End Date" dataDxfId="214"/>
    <tableColumn id="5" xr3:uid="{B202CCC5-0ECB-4511-B601-ADF5DAE660D0}" name="Condition" dataDxfId="213"/>
    <tableColumn id="6" xr3:uid="{FB355C10-55D8-4190-A1B5-85B59198788C}" name="Rule Type" dataDxfId="212"/>
    <tableColumn id="7" xr3:uid="{71673213-0FC4-40BA-B283-71CA351E9FCE}" name="Output Name" dataDxfId="211"/>
    <tableColumn id="8" xr3:uid="{4B882832-BF3C-4836-A4FE-70C323D4D2C7}" name="Display Name" dataDxfId="210"/>
    <tableColumn id="9" xr3:uid="{FDD86BB0-7E48-476F-8B74-688FD5B4F8EC}" name="Reportable" dataDxfId="209"/>
    <tableColumn id="10" xr3:uid="{BE92E515-EAAB-41C7-84C3-0868AE96FF36}" name="Period Type" dataDxfId="208"/>
    <tableColumn id="11" xr3:uid="{232D16A2-9E40-408E-8635-D22C91F1DE99}" name="Type" dataDxfId="207"/>
    <tableColumn id="12" xr3:uid="{A9F4F8F3-55E7-42ED-9BC6-73A8C737EB91}" name="Unit Type" dataDxfId="206"/>
    <tableColumn id="13" xr3:uid="{E804C03A-B90A-4CBC-8FF4-8C99B3EB89A6}" name="Value" dataDxfId="205"/>
    <tableColumn id="21" xr3:uid="{83647C3F-23A0-49F3-A8F2-12D1B8220E78}" name="GA1" dataDxfId="204"/>
    <tableColumn id="22" xr3:uid="{E3EB56D3-2718-4073-81D5-EFB5C255C01B}" name="GA2" dataDxfId="203"/>
    <tableColumn id="23" xr3:uid="{4385912A-8A6F-4A17-A130-57063AB0E3FC}" name="GA3" dataDxfId="202"/>
    <tableColumn id="24" xr3:uid="{C48B7070-FCE0-4694-AE70-1AEEEADB4C3A}" name="GA4" dataDxfId="201"/>
    <tableColumn id="25" xr3:uid="{460DB124-3BF0-41E8-97B4-6C82137B8B87}" name="GA5" dataDxfId="200"/>
    <tableColumn id="26" xr3:uid="{B55778D8-41FC-49A3-BD10-764CB09316AC}" name="GA6" dataDxfId="199"/>
    <tableColumn id="27" xr3:uid="{10CE64BC-D220-4792-8877-75E17D84DF38}" name="GA7" dataDxfId="198"/>
    <tableColumn id="28" xr3:uid="{F3927410-27F1-4988-A4D7-0295D0CE2369}" name="GA8" dataDxfId="197"/>
    <tableColumn id="29" xr3:uid="{9C6351EF-2111-493E-93FE-249CB946697F}" name="GA9" dataDxfId="196"/>
    <tableColumn id="30" xr3:uid="{DB7BED9D-D5D4-4526-9901-DC488A97AAA2}" name="GA10" dataDxfId="195"/>
    <tableColumn id="31" xr3:uid="{E9481922-DAA2-4063-AC68-7A9CA173C3C8}" name="GA11" dataDxfId="194"/>
    <tableColumn id="32" xr3:uid="{B62B4426-7FE5-4658-94D5-4E8898427A3A}" name="GA12" dataDxfId="193"/>
    <tableColumn id="33" xr3:uid="{355E2E93-AC42-49C4-95E8-39C7BE38A8A1}" name="GA13" dataDxfId="192"/>
    <tableColumn id="34" xr3:uid="{55052385-4FAA-493F-9433-B64F79A4FDEB}" name="GA14" dataDxfId="191"/>
    <tableColumn id="35" xr3:uid="{3F777741-FCDB-4282-9DA5-435657E24FAA}" name="GA15" dataDxfId="190"/>
    <tableColumn id="36" xr3:uid="{74DD1D76-B870-4BED-9B29-47A560A10499}" name="GA16" dataDxfId="189"/>
    <tableColumn id="37" xr3:uid="{3DF2383B-393B-47D0-A427-3C45B2819E75}" name="GN1" dataDxfId="188"/>
    <tableColumn id="38" xr3:uid="{766D5A8B-6824-4833-981B-536698B84704}" name="GN2" dataDxfId="187"/>
    <tableColumn id="39" xr3:uid="{BE7672D1-785C-4948-A0CD-5F2FBD7B6F04}" name="GN3" dataDxfId="186"/>
    <tableColumn id="40" xr3:uid="{C72C001E-6AEB-45E2-A055-E8066351DD1D}" name="GN4" dataDxfId="185"/>
    <tableColumn id="41" xr3:uid="{6A022FEC-6108-4FF7-A574-F10199EEE809}" name="GN5" dataDxfId="184"/>
    <tableColumn id="42" xr3:uid="{DA089BBA-5706-4A1B-9513-0BAE7BD81B62}" name="GN6" dataDxfId="183"/>
    <tableColumn id="43" xr3:uid="{781152FF-1502-4FF0-9C86-F0C180F872FA}" name="GD1" dataDxfId="182"/>
    <tableColumn id="44" xr3:uid="{71FAF4FE-C867-4D51-8298-8BBFE386FD58}" name="GD2" dataDxfId="181"/>
    <tableColumn id="45" xr3:uid="{B0CD0FA9-7DEF-451A-94F9-6E7765F79F9B}" name="GD3" dataDxfId="180"/>
    <tableColumn id="46" xr3:uid="{2EA76008-542E-4C5F-85B6-03628842D6A8}" name="GD4" dataDxfId="179"/>
    <tableColumn id="47" xr3:uid="{030B0E89-4CE5-4B20-BD7D-7F9ABF5E4C06}" name="GD5" dataDxfId="178"/>
    <tableColumn id="48" xr3:uid="{E0E61091-6D8E-4877-BAFA-DAB828933A25}" name="GD6" dataDxfId="177"/>
    <tableColumn id="49" xr3:uid="{A60BE568-DB14-4C0F-84CB-744B86649469}" name="GB1" dataDxfId="176"/>
    <tableColumn id="50" xr3:uid="{E2B4CCA6-9A25-4712-BF52-F8722661A3C2}" name="GB2" dataDxfId="175"/>
    <tableColumn id="51" xr3:uid="{09ECDC51-31E4-40F5-BB41-7D1D8AE676DE}" name="GB3" dataDxfId="174"/>
    <tableColumn id="52" xr3:uid="{EB305442-6825-45F4-B239-7BE987F1C0FF}" name="GB4" dataDxfId="173"/>
    <tableColumn id="53" xr3:uid="{BCB6B8D6-CB9A-40AF-A306-49EEB050B4EE}" name="GB5" dataDxfId="172"/>
    <tableColumn id="54" xr3:uid="{48A2885C-4FFE-49CC-9FC8-517149F8EC40}" name="GB6" dataDxfId="17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B80FE4-02D8-4E3D-8E05-967FE9D2F8B6}" name="INCENTIVES" displayName="INCENTIVES" ref="A1:AZ2" totalsRowShown="0" headerRowDxfId="170" dataDxfId="169">
  <autoFilter ref="A1:AZ2" xr:uid="{F1B80FE4-02D8-4E3D-8E05-967FE9D2F8B6}"/>
  <tableColumns count="52">
    <tableColumn id="1" xr3:uid="{7B43A9E2-2499-4A7B-89BC-2C3EDAC9093C}" name="Calendar" dataDxfId="168"/>
    <tableColumn id="2" xr3:uid="{8F7FF61D-89D6-4FBC-89FE-E61AB3A8BBAB}" name="Name" dataDxfId="167"/>
    <tableColumn id="52" xr3:uid="{9AD77E9F-C314-4123-BCB5-4A3630C9C03C}" name="Description" dataDxfId="166"/>
    <tableColumn id="3" xr3:uid="{AEE06029-FBDD-49A6-9AB7-7DD3D579A777}" name="Start Date" dataDxfId="165"/>
    <tableColumn id="4" xr3:uid="{5CD197AD-ECD4-4529-B3C5-8586DDD78E5F}" name="End Date" dataDxfId="164"/>
    <tableColumn id="5" xr3:uid="{16388158-6451-4A17-A517-3D9D388315B7}" name="Condition" dataDxfId="163"/>
    <tableColumn id="6" xr3:uid="{E2C3798C-215C-4E37-B2BE-30492E586574}" name="Rule Type" dataDxfId="162"/>
    <tableColumn id="7" xr3:uid="{3398DA87-67E6-4339-91C2-AB169A07D76F}" name="Output Name" dataDxfId="161"/>
    <tableColumn id="8" xr3:uid="{6D3D041D-8490-47C1-B2A8-5F9AB31A0628}" name="Display Name" dataDxfId="160"/>
    <tableColumn id="9" xr3:uid="{F6B5D1FC-4F9B-4D03-8ABF-1E42731E2D3F}" name="Reportable" dataDxfId="159"/>
    <tableColumn id="10" xr3:uid="{AA564601-FAF8-4CF5-A938-0C1966CEF904}" name="Period Type" dataDxfId="158"/>
    <tableColumn id="11" xr3:uid="{CFA53668-3CFF-4DCB-BAC9-2FEAF92F26F3}" name="Type" dataDxfId="157"/>
    <tableColumn id="12" xr3:uid="{905D2485-BF64-4F33-92C1-D2C3C06135E1}" name="Unit Type" dataDxfId="156"/>
    <tableColumn id="13" xr3:uid="{438EA15E-0DE0-4E95-BF74-E2CCE0C4D858}" name="Value" dataDxfId="155"/>
    <tableColumn id="14" xr3:uid="{3FEB9BEF-B034-47D9-A359-BE5AA5BA1C61}" name="Rate" dataDxfId="154"/>
    <tableColumn id="15" xr3:uid="{A0DA3EFB-50F5-49CE-8B3C-8BF1D3B24AB8}" name="HOLD_REF_NAME" dataDxfId="153"/>
    <tableColumn id="16" xr3:uid="{4A6250B1-7DFC-41EC-8EF7-1AF21DDD6378}" name="HOLD_REF_PERIOD_OFFSET" dataDxfId="152"/>
    <tableColumn id="17" xr3:uid="{58D6D428-B64F-48AE-996D-C65BA4DCD6AB}" name="HOLD_REF_PERIOD_TYPE" dataDxfId="151"/>
    <tableColumn id="18" xr3:uid="{0C07CEDA-CD6A-4193-8A97-F6E89D078F20}" name="GA1" dataDxfId="150"/>
    <tableColumn id="19" xr3:uid="{AFA12AD0-65F4-40D4-9BFB-A33E69668B93}" name="GA2" dataDxfId="149"/>
    <tableColumn id="20" xr3:uid="{0B1C012E-B857-474C-A757-B7C11A5AD393}" name="GA3" dataDxfId="148"/>
    <tableColumn id="21" xr3:uid="{11C8A731-CE48-4AAC-B15F-BF443BFC2F2A}" name="GA4" dataDxfId="147"/>
    <tableColumn id="22" xr3:uid="{454D4FE7-253A-409A-BE65-D18F412ED788}" name="GA5" dataDxfId="146"/>
    <tableColumn id="23" xr3:uid="{DB26B5A6-E7C6-48A5-A9F4-898C8FE3889A}" name="GA6" dataDxfId="145"/>
    <tableColumn id="24" xr3:uid="{3A0114C6-97E2-4081-93F4-D0C5F61CC6A0}" name="GA7" dataDxfId="144"/>
    <tableColumn id="25" xr3:uid="{CAE92B82-B155-453D-8118-5EDE1C611334}" name="GA8" dataDxfId="143"/>
    <tableColumn id="26" xr3:uid="{7B6BFB84-6E23-4A15-8A27-02B7DFFECDAE}" name="GA9" dataDxfId="142"/>
    <tableColumn id="27" xr3:uid="{7C5DBA32-BCB0-43F6-8EB6-EC57CB08AF89}" name="GA10" dataDxfId="141"/>
    <tableColumn id="28" xr3:uid="{E11E984B-1F55-4FE7-9CE2-89E4DCBFD60E}" name="GA11" dataDxfId="140"/>
    <tableColumn id="29" xr3:uid="{DF4AE1EB-764D-4022-BDAE-0B14FA8079BB}" name="GA12" dataDxfId="139"/>
    <tableColumn id="30" xr3:uid="{7AD7CE76-70A6-4C09-A6CB-D76EE7F686BF}" name="GA13" dataDxfId="138"/>
    <tableColumn id="31" xr3:uid="{847DDE15-B487-4DA3-8641-9BD7082AFF26}" name="GA14" dataDxfId="137"/>
    <tableColumn id="32" xr3:uid="{7D7C652D-C0B9-4ADA-8D2B-85F2879BFCE9}" name="GA15" dataDxfId="136"/>
    <tableColumn id="33" xr3:uid="{0CC3F78D-B3F5-4A28-A1CB-E875612F5514}" name="GA16" dataDxfId="135"/>
    <tableColumn id="34" xr3:uid="{D5BE2F9F-46A6-4653-9761-9E6A92385D7F}" name="GN1" dataDxfId="134"/>
    <tableColumn id="35" xr3:uid="{2E13BE7F-5FD3-4C39-AAB2-053DAEE5E1E6}" name="GN2" dataDxfId="133"/>
    <tableColumn id="36" xr3:uid="{67006D80-A2B0-4A08-87FA-4FD3FFA77594}" name="GN3" dataDxfId="132"/>
    <tableColumn id="37" xr3:uid="{38D952F2-3CFD-480A-B693-55A1513584B8}" name="GN4" dataDxfId="131"/>
    <tableColumn id="38" xr3:uid="{AD7528BE-8C78-4640-9D7E-64AAA44F2CAD}" name="GN5" dataDxfId="130"/>
    <tableColumn id="39" xr3:uid="{7F67C25C-AF2E-497C-82B5-540E450DA10E}" name="GN6" dataDxfId="129"/>
    <tableColumn id="40" xr3:uid="{E126EC62-785D-458A-9728-7BBFA585FAF6}" name="GD1" dataDxfId="128"/>
    <tableColumn id="41" xr3:uid="{4209622D-B4C2-4B6C-9BB4-9DD5174F7731}" name="GD2" dataDxfId="127"/>
    <tableColumn id="42" xr3:uid="{9C3193DB-227F-4E4D-96FC-0786B10126AA}" name="GD3" dataDxfId="126"/>
    <tableColumn id="43" xr3:uid="{DDD468D5-9608-424B-827F-62DCE2B113B7}" name="GD4" dataDxfId="125"/>
    <tableColumn id="44" xr3:uid="{F6A2F39E-9545-4800-ADCF-577895298589}" name="GD5" dataDxfId="124"/>
    <tableColumn id="45" xr3:uid="{23875469-C921-439D-88AE-4FBE94E44904}" name="GD6" dataDxfId="123"/>
    <tableColumn id="46" xr3:uid="{9FA2922C-0D85-4D25-8322-D241B911E044}" name="GB1" dataDxfId="122"/>
    <tableColumn id="47" xr3:uid="{5D098DD2-B327-4C63-9FD0-4E7446D5CA75}" name="GB2" dataDxfId="121"/>
    <tableColumn id="48" xr3:uid="{54C72902-6F71-460B-AB91-A85721CC5E30}" name="GB3" dataDxfId="120"/>
    <tableColumn id="49" xr3:uid="{EFE444D1-32AE-40EF-A4C0-BEBF6BAD2630}" name="GB4" dataDxfId="119"/>
    <tableColumn id="50" xr3:uid="{C21864FB-4D05-40D5-9C60-8C5531CF24FF}" name="GB5" dataDxfId="118"/>
    <tableColumn id="51" xr3:uid="{4CD701BB-9914-450E-8099-361D4D5CED03}" name="GB6" dataDxfId="11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11EE45-F8AE-4F57-A587-F43A8A2BCD27}" name="DEPOSITS" displayName="DEPOSITS" ref="A1:AZ2" totalsRowShown="0" headerRowDxfId="116" dataDxfId="115">
  <autoFilter ref="A1:AZ2" xr:uid="{09BBAC49-1FFF-438F-845B-550E840C2F43}"/>
  <tableColumns count="52">
    <tableColumn id="1" xr3:uid="{5E7D3B24-3A0F-4C0C-9E38-159DF5A63D53}" name="Calendar" dataDxfId="114"/>
    <tableColumn id="2" xr3:uid="{3D2E8508-FABE-47C6-91E2-BE1CD9C91A1A}" name="Name" dataDxfId="113"/>
    <tableColumn id="52" xr3:uid="{423266FA-3684-44FE-8CCC-F9533CA3429B}" name="Description" dataDxfId="112"/>
    <tableColumn id="3" xr3:uid="{8532176B-9877-45F1-A712-97F7CDDEEAEC}" name="Start Date" dataDxfId="111"/>
    <tableColumn id="4" xr3:uid="{61CB3BAB-11C3-4D40-A11A-BF8703F68B6E}" name="End Date" dataDxfId="110"/>
    <tableColumn id="5" xr3:uid="{4B258681-5A6E-4414-B381-B6DC3D344A62}" name="Condition" dataDxfId="109"/>
    <tableColumn id="6" xr3:uid="{238CD4E2-6310-4AD6-8AB6-98968EBD0265}" name="Rule Type" dataDxfId="108"/>
    <tableColumn id="7" xr3:uid="{67A39407-00C3-426F-909F-3AEDE553EA03}" name="Output Name" dataDxfId="107"/>
    <tableColumn id="8" xr3:uid="{867B357D-9337-4225-B7CE-EDB0CDF6BB65}" name="Display Name" dataDxfId="106"/>
    <tableColumn id="9" xr3:uid="{7F9B56EA-0CA7-4BFA-833E-CB4B4A27EB8C}" name="Reportable" dataDxfId="105"/>
    <tableColumn id="10" xr3:uid="{B3536277-803F-45EB-B0BD-80E1D1550138}" name="Period Type" dataDxfId="104"/>
    <tableColumn id="11" xr3:uid="{3D03035C-5126-41EF-B2AF-16D6D73E83E6}" name="Type" dataDxfId="103"/>
    <tableColumn id="12" xr3:uid="{B46C32BE-A97C-46C1-B0D8-1E8D09E0A2B1}" name="Unit Type" dataDxfId="102"/>
    <tableColumn id="13" xr3:uid="{8BEACCD4-0C15-4AC1-AF37-458D7D4CDEAA}" name="Value" dataDxfId="101"/>
    <tableColumn id="14" xr3:uid="{E14719A7-2D3E-4674-BC63-FD73B758257B}" name="Hold" dataDxfId="100"/>
    <tableColumn id="15" xr3:uid="{E0CB91BF-0697-420D-B3EF-1193C9FAE780}" name="Hold Condition" dataDxfId="99"/>
    <tableColumn id="51" xr3:uid="{AA7AE731-384B-41C6-8EA8-8DBFF9D3A694}" name="Earning Group" dataDxfId="98"/>
    <tableColumn id="50" xr3:uid="{8057F8EE-5DD1-4BB1-A722-EEE4BD946EDF}" name="Earning Code" dataDxfId="97"/>
    <tableColumn id="16" xr3:uid="{9B6C8F8C-F7BC-44DA-ADA5-1DFF675BBE38}" name="GA1" dataDxfId="96"/>
    <tableColumn id="17" xr3:uid="{A92B21EB-3CA7-4CA6-B29D-D5EDB960A19D}" name="GA2" dataDxfId="95"/>
    <tableColumn id="18" xr3:uid="{C7685997-9456-48F6-A6A4-E09192C92387}" name="GA3" dataDxfId="94"/>
    <tableColumn id="19" xr3:uid="{F60575E8-05DC-48F5-821F-2772D165EF0F}" name="GA4" dataDxfId="93"/>
    <tableColumn id="20" xr3:uid="{07F977AB-AFF5-4D45-9AA5-7A45FD0491B6}" name="GA5" dataDxfId="92"/>
    <tableColumn id="21" xr3:uid="{73E062D1-38ED-484D-AB0B-9399BEE91F3C}" name="GA6" dataDxfId="91"/>
    <tableColumn id="22" xr3:uid="{13786C3D-CFED-48A6-B892-2F912D2C23F7}" name="GA7" dataDxfId="90"/>
    <tableColumn id="23" xr3:uid="{3CB5AD54-BAD7-48BB-938A-05AEFD52C2EB}" name="GA8" dataDxfId="89"/>
    <tableColumn id="24" xr3:uid="{6C551B49-4E98-4F24-95BB-B1BA87F7FBC0}" name="GA9" dataDxfId="88"/>
    <tableColumn id="25" xr3:uid="{8126D2A8-59A5-4B03-B95B-525BC63DFBEA}" name="GA10" dataDxfId="87"/>
    <tableColumn id="26" xr3:uid="{7A700C90-928C-48BB-BE03-9F95691C1E64}" name="GA11" dataDxfId="86"/>
    <tableColumn id="27" xr3:uid="{81372E2F-323D-42BF-8D7E-9BF62A50EA7C}" name="GA12" dataDxfId="85"/>
    <tableColumn id="28" xr3:uid="{0784663C-96EB-4C37-9992-7A548CDD380F}" name="GA13" dataDxfId="84"/>
    <tableColumn id="29" xr3:uid="{26F48619-F566-43DA-9ED5-06DD8AAFA056}" name="GA14" dataDxfId="83"/>
    <tableColumn id="30" xr3:uid="{6FF47EE0-7A4A-4689-93C4-FE1E247FA71A}" name="GA15" dataDxfId="82"/>
    <tableColumn id="31" xr3:uid="{F60B5D12-3FA4-4416-B2CB-118FACEB470E}" name="GA16" dataDxfId="81"/>
    <tableColumn id="32" xr3:uid="{08CB3F38-836A-4348-8546-7C94E019D894}" name="GN1" dataDxfId="80"/>
    <tableColumn id="33" xr3:uid="{000B7A38-8333-411E-BE37-67797102EF2A}" name="GN2" dataDxfId="79"/>
    <tableColumn id="34" xr3:uid="{6096F382-8355-4741-B97F-F350637A80DE}" name="GN3" dataDxfId="78"/>
    <tableColumn id="35" xr3:uid="{21300C77-7C46-4364-AEAC-03A6093524D8}" name="GN4" dataDxfId="77"/>
    <tableColumn id="36" xr3:uid="{B7AF552C-00AA-4B56-9B25-900EF242913E}" name="GN5" dataDxfId="76"/>
    <tableColumn id="37" xr3:uid="{F24BCE22-86A0-43DF-9C09-277C5D671FD1}" name="GN6" dataDxfId="75"/>
    <tableColumn id="38" xr3:uid="{838C6A00-1BDF-486D-BEB7-BB9BE82C5F8B}" name="GD1" dataDxfId="74"/>
    <tableColumn id="39" xr3:uid="{28F8C609-7171-4B46-AE3E-2FC2C252B6F7}" name="GD2" dataDxfId="73"/>
    <tableColumn id="40" xr3:uid="{6D1FD265-2789-4AA4-86C3-DA107E08F337}" name="GD3" dataDxfId="72"/>
    <tableColumn id="41" xr3:uid="{38F81AB3-8AC4-4CC2-BC13-04CF4C819C9F}" name="GD4" dataDxfId="71"/>
    <tableColumn id="42" xr3:uid="{799EE284-AFD5-4787-A610-A745CFDD81BF}" name="GD5" dataDxfId="70"/>
    <tableColumn id="43" xr3:uid="{901D0C52-7F9B-4970-BCD7-F45ABD849DEE}" name="GD6" dataDxfId="69"/>
    <tableColumn id="44" xr3:uid="{933B018B-8604-4AC6-9812-72BBE547D177}" name="GB1" dataDxfId="68"/>
    <tableColumn id="45" xr3:uid="{ADE69EBB-5AB1-41F5-AF02-7D44EA3E5E14}" name="GB2" dataDxfId="67"/>
    <tableColumn id="46" xr3:uid="{2102575D-E476-47BE-A0E6-FEA8BB39E7ED}" name="GB3" dataDxfId="66"/>
    <tableColumn id="47" xr3:uid="{FCA8C86B-0A6F-487F-883A-7561789DEB77}" name="GB4" dataDxfId="65"/>
    <tableColumn id="48" xr3:uid="{0DEF1B1C-A46B-41CD-8B32-19306D84628C}" name="GB5" dataDxfId="64"/>
    <tableColumn id="49" xr3:uid="{71A7D64B-6AD7-476C-A408-0B5A9C572C74}" name="GB6" dataDxfId="63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BEE03-10D6-4F61-A601-E85A2B2EFE50}" name="LOOKUP_TABLES" displayName="LOOKUP_TABLES" ref="A1:O81" totalsRowShown="0" headerRowDxfId="62" dataDxfId="61">
  <autoFilter ref="A1:O81" xr:uid="{28F28BD6-18D2-44E8-B918-4722AB53B499}"/>
  <tableColumns count="15">
    <tableColumn id="1" xr3:uid="{4F30A7A5-43EF-4AD0-891C-2A61BDA44680}" name="Calendar" dataDxfId="60"/>
    <tableColumn id="2" xr3:uid="{D0B65E28-4C20-4A87-8BB1-CFD8CB42C267}" name="Name" dataDxfId="59"/>
    <tableColumn id="5" xr3:uid="{7A8FFD47-7A5F-405B-BF94-E1B29FFBE830}" name="Description" dataDxfId="58"/>
    <tableColumn id="3" xr3:uid="{72F52867-D66A-4794-A5EE-D2EA9656EAEF}" name="Start Date" dataDxfId="57"/>
    <tableColumn id="4" xr3:uid="{C84D5FD0-DEA0-4B55-A17E-63B6D5FCB2B0}" name="End Date" dataDxfId="56"/>
    <tableColumn id="8" xr3:uid="{60A81736-5FBB-472F-82D3-E077BD75849F}" name="Unit Type" dataDxfId="55"/>
    <tableColumn id="9" xr3:uid="{FEDC047F-547E-45E8-9FA5-B757589CA27A}" name="Convert NULL" dataDxfId="54"/>
    <tableColumn id="11" xr3:uid="{0838D1B4-2ED4-486C-88BA-A41FD7460B8D}" name="Dim Name" dataDxfId="53"/>
    <tableColumn id="12" xr3:uid="{FDE3D23D-395C-4E0E-B8BC-B68D5E715083}" name="Dim Start Date" dataDxfId="52"/>
    <tableColumn id="13" xr3:uid="{D95C9F80-56ED-46C4-9BF2-5A7F0CA5D127}" name="Dim End Date" dataDxfId="51"/>
    <tableColumn id="14" xr3:uid="{3A2F509C-E431-4ED8-A89A-0CD8E06A3144}" name="Case Sensitive" dataDxfId="50"/>
    <tableColumn id="49" xr3:uid="{3372D3FC-B198-48A6-B413-F6F444B27126}" name="Dim Type" dataDxfId="49"/>
    <tableColumn id="60" xr3:uid="{0426D7D2-0BDD-4F8D-A3A4-F8659EEE0E47}" name="Value" dataDxfId="48"/>
    <tableColumn id="50" xr3:uid="{CCE9A018-97EA-4C20-B1FE-76DEDCA325EF}" name="Low" dataDxfId="47"/>
    <tableColumn id="51" xr3:uid="{F6320351-787C-45CD-B899-388F35FA07CE}" name="High" dataDxfId="4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2CC03-7634-4CB6-86F6-1DC2B63FFFA5}" name="RATE_TABLES" displayName="RATE_TABLES" ref="A1:P2" insertRow="1" totalsRowShown="0" headerRowDxfId="45" dataDxfId="44">
  <autoFilter ref="A1:P2" xr:uid="{AEA9A25F-5EBA-4C73-840D-7EA3204203BC}"/>
  <tableColumns count="16">
    <tableColumn id="1" xr3:uid="{D795C3A4-2F19-444A-B7CD-D29CC79A50DC}" name="Calendar" dataDxfId="43"/>
    <tableColumn id="2" xr3:uid="{ECEB1709-6B89-4F9F-AF70-6A3172A6EB69}" name="Name" dataDxfId="42"/>
    <tableColumn id="3" xr3:uid="{D3E7C367-CAAE-4147-AA5F-3405CD5718F4}" name="Description" dataDxfId="41"/>
    <tableColumn id="4" xr3:uid="{7D3BF4D6-0B45-4721-8567-BCE2CE0CB3A8}" name="Start Date" dataDxfId="40"/>
    <tableColumn id="5" xr3:uid="{D19F1325-DCD5-46B3-A379-20635CF68E96}" name="End Date" dataDxfId="39"/>
    <tableColumn id="6" xr3:uid="{E5F66889-02F3-4F08-90F8-629DC1DA43C0}" name="RATE_EXP_UNIT_TYPE" dataDxfId="38"/>
    <tableColumn id="7" xr3:uid="{2A05B6E5-BDAC-4036-B0F1-F30A0A07499B}" name="RETURN_TYPE" dataDxfId="37"/>
    <tableColumn id="8" xr3:uid="{2D419765-FB4F-4DD3-BB31-8244DA8F05F2}" name="SELECTOR_UNIT_TYPE" dataDxfId="36"/>
    <tableColumn id="9" xr3:uid="{3A9EE617-92B4-40AA-8DD4-4F76C41A4BAF}" name="Start Include" dataDxfId="35"/>
    <tableColumn id="10" xr3:uid="{3352A850-C819-470C-88FC-535C5A5CBF63}" name="Start" dataDxfId="34"/>
    <tableColumn id="11" xr3:uid="{69354F84-3DAF-406A-AD99-E76929733D62}" name="Start Type" dataDxfId="33"/>
    <tableColumn id="26" xr3:uid="{CABACB09-2B84-4026-9FF4-4CEFCDC865CA}" name="End Include" dataDxfId="32"/>
    <tableColumn id="27" xr3:uid="{F0E0BE17-3C2A-48B1-BA99-C4381B50638E}" name="End" dataDxfId="31"/>
    <tableColumn id="28" xr3:uid="{9DEFBE1A-8823-4E86-8F0B-C020E4E35CD1}" name="End Type" dataDxfId="30"/>
    <tableColumn id="29" xr3:uid="{E3C4901D-7B03-4F3E-979A-9520AEF4D2CF}" name="Value" dataDxfId="29"/>
    <tableColumn id="30" xr3:uid="{025017C3-7D81-48C3-99ED-BEC9687BB61F}" name="Unit Type" dataDxfId="2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661299B-E858-4CE0-89A2-006E8B17D337}" name="FIXED_VALUES" displayName="FIXED_VALUES" ref="A1:G16" totalsRowShown="0" headerRowDxfId="27" dataDxfId="26">
  <autoFilter ref="A1:G16" xr:uid="{589FDF78-A0E6-47AD-A70E-349EF994832D}"/>
  <tableColumns count="7">
    <tableColumn id="1" xr3:uid="{91B6E836-E92B-43D8-BE26-6D3B6CC6472F}" name="Calendar" dataDxfId="25"/>
    <tableColumn id="2" xr3:uid="{D4918F19-0704-4387-8F84-E0C5E1DC7847}" name="Name" dataDxfId="24"/>
    <tableColumn id="3" xr3:uid="{E9E07519-3FC0-4FFC-8267-C8E9036AFA17}" name="Description" dataDxfId="23"/>
    <tableColumn id="4" xr3:uid="{D4B2062D-3E36-407A-B85A-7FD5B78D8EED}" name="Start Date" dataDxfId="22"/>
    <tableColumn id="5" xr3:uid="{D5DE3EE6-B9CE-4701-9047-4C307EC72DF5}" name="End Date" dataDxfId="21"/>
    <tableColumn id="6" xr3:uid="{39B3CD4B-FFAB-4988-90CC-F00A9557E482}" name="Value" dataDxfId="20"/>
    <tableColumn id="7" xr3:uid="{121A5EDC-3707-4EB7-BE93-C005B07BDD3A}" name="Unit Type" dataDxfId="1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54C6BB-C3B4-4F09-9C17-9A65635A94BC}" name="VARIABLES" displayName="VARIABLES" ref="A1:H12" totalsRowShown="0" headerRowDxfId="18" dataDxfId="17">
  <autoFilter ref="A1:H12" xr:uid="{D00BEB9A-FA95-4A8C-B8EF-F3ACC9749AC9}"/>
  <tableColumns count="8">
    <tableColumn id="1" xr3:uid="{DE712AFC-B73D-402F-9FCC-09229B5C4C52}" name="Calendar" dataDxfId="16"/>
    <tableColumn id="2" xr3:uid="{9EB84F6F-51BD-47D5-86DC-558C5B03D26F}" name="Name" dataDxfId="15"/>
    <tableColumn id="3" xr3:uid="{D292B3A4-646A-4DE9-8A9D-B8488F37057A}" name="Description" dataDxfId="14"/>
    <tableColumn id="4" xr3:uid="{AB422755-D052-4118-8658-DA3FC2ECBF07}" name="Start Date" dataDxfId="13"/>
    <tableColumn id="5" xr3:uid="{A6DB3F29-17C2-4570-9E1F-2B045727B929}" name="End Date" dataDxfId="12"/>
    <tableColumn id="6" xr3:uid="{C115EA74-F261-4894-A24F-384A56A5057F}" name="Return Type" dataDxfId="11"/>
    <tableColumn id="7" xr3:uid="{175C6A95-A798-41D4-83FF-4219A66BC67A}" name="Variable Type" dataDxfId="10"/>
    <tableColumn id="8" xr3:uid="{8C0EF549-3924-4072-9ABE-F246FCC9CCAD}" name="Default" dataDxfId="9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10ED04-D580-4CD2-BB38-1E10D859C2D1}" name="FORMULAS" displayName="FORMULAS" ref="A1:G14" totalsRowShown="0" headerRowDxfId="8" dataDxfId="7">
  <autoFilter ref="A1:G14" xr:uid="{AE80B449-9DA2-450F-920D-3AFDC43A161F}"/>
  <tableColumns count="7">
    <tableColumn id="1" xr3:uid="{449956DC-9369-4FCF-9778-89C3F8451AFA}" name="Calendar" dataDxfId="6"/>
    <tableColumn id="2" xr3:uid="{23AE9037-4276-4619-B967-7FA715165DDD}" name="Name" dataDxfId="5"/>
    <tableColumn id="3" xr3:uid="{6B59E2E9-4683-423F-8F86-5ED33CCFC837}" name="Description" dataDxfId="4"/>
    <tableColumn id="4" xr3:uid="{A2B0019E-0A23-4CA1-B2ED-3AA61708B064}" name="Start Date" dataDxfId="3"/>
    <tableColumn id="5" xr3:uid="{4804432B-550F-4873-AA63-3623AB5ED854}" name="End Date" dataDxfId="2"/>
    <tableColumn id="6" xr3:uid="{7983A0EE-D793-4454-A01A-137B192ED9E6}" name="Formula" dataDxfId="1"/>
    <tableColumn id="7" xr3:uid="{09C86CDA-4C19-4E8D-8348-2D317347AB8A}" name="Return Typ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F76AE5C-95D1-4A30-91E9-88EB82358C44}">
  <we:reference id="wa200001584" version="2.8.0.5" store="en-US" storeType="OMEX"/>
  <we:alternateReferences>
    <we:reference id="wa200001584" version="2.8.0.5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6EF3F0E-1BC8-43A4-8BF7-85A451326591}">
  <we:reference id="wa200004935" version="1.0.0.0" store="en-US" storeType="OMEX"/>
  <we:alternateReferences>
    <we:reference id="wa200004935" version="1.0.0.0" store="WA20000493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64AC-B960-4BE1-B86C-AD45C9289D9E}">
  <sheetPr codeName="Front">
    <tabColor theme="4" tint="0.59999389629810485"/>
  </sheetPr>
  <dimension ref="C1:G20"/>
  <sheetViews>
    <sheetView showGridLines="0" zoomScaleNormal="100" workbookViewId="0">
      <selection activeCell="A8" sqref="A8"/>
    </sheetView>
  </sheetViews>
  <sheetFormatPr defaultColWidth="9.1796875" defaultRowHeight="14.5" x14ac:dyDescent="0.35"/>
  <cols>
    <col min="1" max="1" width="9.1796875" style="19"/>
    <col min="2" max="2" width="4" style="19" customWidth="1"/>
    <col min="3" max="3" width="19.26953125" customWidth="1"/>
    <col min="4" max="4" width="9.7265625" customWidth="1"/>
    <col min="5" max="5" width="4.7265625" customWidth="1"/>
    <col min="6" max="6" width="20.26953125" customWidth="1"/>
    <col min="7" max="7" width="13.81640625" customWidth="1"/>
    <col min="8" max="13" width="9.7265625" style="19" customWidth="1"/>
    <col min="14" max="14" width="59.453125" style="19" bestFit="1" customWidth="1"/>
    <col min="15" max="15" width="40.7265625" style="19" bestFit="1" customWidth="1"/>
    <col min="16" max="16" width="30" style="19" bestFit="1" customWidth="1"/>
    <col min="17" max="17" width="42" style="19" bestFit="1" customWidth="1"/>
    <col min="18" max="18" width="22.26953125" style="19" bestFit="1" customWidth="1"/>
    <col min="19" max="16384" width="9.1796875" style="19"/>
  </cols>
  <sheetData>
    <row r="1" spans="3:7" s="17" customFormat="1" ht="48.5" customHeight="1" x14ac:dyDescent="0.35">
      <c r="C1" s="67"/>
      <c r="D1" s="67"/>
      <c r="E1" s="67"/>
      <c r="F1" s="67"/>
      <c r="G1" s="67"/>
    </row>
    <row r="2" spans="3:7" s="18" customFormat="1" x14ac:dyDescent="0.35">
      <c r="C2" s="30" t="s">
        <v>338</v>
      </c>
      <c r="D2" s="31"/>
      <c r="E2" s="31"/>
      <c r="F2" s="31"/>
      <c r="G2" s="32"/>
    </row>
    <row r="3" spans="3:7" x14ac:dyDescent="0.35">
      <c r="C3" s="51"/>
      <c r="D3" s="52"/>
      <c r="E3" s="52"/>
      <c r="F3" s="52"/>
      <c r="G3" s="53"/>
    </row>
    <row r="4" spans="3:7" x14ac:dyDescent="0.35">
      <c r="C4" s="51"/>
      <c r="D4" s="52"/>
      <c r="E4" s="52"/>
      <c r="F4" s="52"/>
      <c r="G4" s="53"/>
    </row>
    <row r="5" spans="3:7" x14ac:dyDescent="0.35">
      <c r="C5" s="51"/>
      <c r="D5" s="52"/>
      <c r="E5" s="52"/>
      <c r="F5" s="52"/>
      <c r="G5" s="53"/>
    </row>
    <row r="6" spans="3:7" s="17" customFormat="1" x14ac:dyDescent="0.35">
      <c r="C6" s="54" t="s">
        <v>102</v>
      </c>
      <c r="D6" s="55"/>
      <c r="E6" s="55"/>
      <c r="F6" s="55" t="s">
        <v>101</v>
      </c>
      <c r="G6" s="56"/>
    </row>
    <row r="7" spans="3:7" s="17" customFormat="1" ht="7" customHeight="1" thickBot="1" x14ac:dyDescent="0.4">
      <c r="C7" s="39"/>
      <c r="D7" s="40"/>
      <c r="E7" s="37"/>
      <c r="F7" s="40"/>
      <c r="G7" s="41"/>
    </row>
    <row r="8" spans="3:7" x14ac:dyDescent="0.35">
      <c r="C8" s="42" t="s">
        <v>90</v>
      </c>
      <c r="D8" s="43">
        <f>COUNTA(_xlfn.UNIQUE(PLANS[Name]))-COUNTBLANK(PLANS[Name])</f>
        <v>0</v>
      </c>
      <c r="E8" s="38"/>
      <c r="F8" s="48" t="s">
        <v>96</v>
      </c>
      <c r="G8" s="43">
        <f>COUNTA(_xlfn.UNIQUE(LOOKUP_TABLES[Name]))-COUNTBLANK(LOOKUP_TABLES[Name])</f>
        <v>2</v>
      </c>
    </row>
    <row r="9" spans="3:7" x14ac:dyDescent="0.35">
      <c r="C9" s="44" t="s">
        <v>91</v>
      </c>
      <c r="D9" s="45">
        <f>COUNTA(_xlfn.UNIQUE(COMPONENTS[Name]))-COUNTBLANK(COMPONENTS[Name])</f>
        <v>1</v>
      </c>
      <c r="E9" s="38"/>
      <c r="F9" s="49" t="s">
        <v>97</v>
      </c>
      <c r="G9" s="45">
        <f>COUNTA(_xlfn.UNIQUE(RATE_TABLES[Name]))-COUNTBLANK(RATE_TABLES[Name])</f>
        <v>0</v>
      </c>
    </row>
    <row r="10" spans="3:7" x14ac:dyDescent="0.35">
      <c r="C10" s="44" t="s">
        <v>92</v>
      </c>
      <c r="D10" s="45">
        <f>COUNTA(_xlfn.UNIQUE(CREDITRULES[Name]))-COUNTBLANK(CREDITRULES[Name])</f>
        <v>0</v>
      </c>
      <c r="E10" s="38"/>
      <c r="F10" s="49" t="s">
        <v>98</v>
      </c>
      <c r="G10" s="45">
        <f>COUNTA(_xlfn.UNIQUE(FIXED_VALUES[Name]))-COUNTBLANK(FIXED_VALUES[Name])</f>
        <v>9</v>
      </c>
    </row>
    <row r="11" spans="3:7" x14ac:dyDescent="0.35">
      <c r="C11" s="44" t="s">
        <v>93</v>
      </c>
      <c r="D11" s="45">
        <f>COUNTA(_xlfn.UNIQUE(MEASUREMENTS[Name]))-COUNTBLANK(MEASUREMENTS[Name])</f>
        <v>20</v>
      </c>
      <c r="E11" s="38"/>
      <c r="F11" s="49" t="s">
        <v>99</v>
      </c>
      <c r="G11" s="45">
        <f>COUNTA(_xlfn.UNIQUE(VARIABLES[Name]))-COUNTBLANK(VARIABLES[Name])</f>
        <v>11</v>
      </c>
    </row>
    <row r="12" spans="3:7" x14ac:dyDescent="0.35">
      <c r="C12" s="44" t="s">
        <v>94</v>
      </c>
      <c r="D12" s="45">
        <f>COUNTA(_xlfn.UNIQUE(INCENTIVES[Name]))-COUNTBLANK(INCENTIVES[Name])</f>
        <v>1</v>
      </c>
      <c r="E12" s="38"/>
      <c r="F12" s="49" t="s">
        <v>100</v>
      </c>
      <c r="G12" s="45">
        <f>COUNTA(_xlfn.UNIQUE(FORMULAS[Name]))-COUNTBLANK(FORMULAS[Name])</f>
        <v>13</v>
      </c>
    </row>
    <row r="13" spans="3:7" ht="15" thickBot="1" x14ac:dyDescent="0.4">
      <c r="C13" s="46" t="s">
        <v>95</v>
      </c>
      <c r="D13" s="47">
        <f>COUNTA(_xlfn.UNIQUE(DEPOSITS[Name]))-COUNTBLANK(DEPOSITS[Name])</f>
        <v>1</v>
      </c>
      <c r="E13" s="38"/>
      <c r="F13" s="50"/>
      <c r="G13" s="47"/>
    </row>
    <row r="20" spans="3:4" x14ac:dyDescent="0.35">
      <c r="C20" s="57" t="s">
        <v>105</v>
      </c>
      <c r="D20" s="58">
        <f>SUM(D8:D13)</f>
        <v>23</v>
      </c>
    </row>
  </sheetData>
  <mergeCells count="1">
    <mergeCell ref="C1:G1"/>
  </mergeCells>
  <hyperlinks>
    <hyperlink ref="F8" location="LOOKUP_TABLES!A1" display="Lookup Tables" xr:uid="{66137632-FDA3-43A4-B51E-90489F4BFF7E}"/>
    <hyperlink ref="F9" location="'RATE_TABLES'!A1" display="Rate Tables" xr:uid="{A2913817-2A42-4212-8B86-BCDC6EC04B56}"/>
    <hyperlink ref="F10" location="FIXED_VALUES!A1" display="Fixed Values" xr:uid="{A61EE99E-60DA-447B-948A-370D159611EF}"/>
    <hyperlink ref="F11" location="VARIABLES!A1" display="Variables" xr:uid="{58FDD6EB-8FB0-4319-A07A-68E377512A74}"/>
    <hyperlink ref="F12" location="FORMULAS!A1" display="Formulas" xr:uid="{4FDCF8F3-A225-42A7-A35A-2D4C6001AB05}"/>
    <hyperlink ref="C13" location="DEPOSITS!A1" display="Deposits" xr:uid="{09EF0E1E-3D88-4AF9-A96C-DF79FE5B7735}"/>
    <hyperlink ref="C12" location="INCENTIVES!A1" display="Incentives" xr:uid="{516F718A-38FF-46D3-AF41-B73C217A499C}"/>
    <hyperlink ref="C11" location="MEASUREMENTS!A1" display="Measurements" xr:uid="{508832C4-BDE0-4DF1-9F6D-2D28865226F3}"/>
    <hyperlink ref="C10" location="'CREDITRULES'!A1" display="Creditrules" xr:uid="{A6B9BAF3-082B-47FE-A255-8958EBBBB3C9}"/>
    <hyperlink ref="C9" location="'COMPONENTS'!A1" display="Components" xr:uid="{1A43299E-7DE6-4EF3-8A69-943A615AC3D6}"/>
    <hyperlink ref="C8" location="PLANS!A1" display="Plans" xr:uid="{0BF0DDE4-B376-43D6-928B-EFFE14E5F680}"/>
  </hyperlinks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Select_Plan_File_Path">
                <anchor>
                  <from>
                    <xdr:col>2</xdr:col>
                    <xdr:colOff>285750</xdr:colOff>
                    <xdr:row>3</xdr:row>
                    <xdr:rowOff>0</xdr:rowOff>
                  </from>
                  <to>
                    <xdr:col>3</xdr:col>
                    <xdr:colOff>63500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_xludf.Parse">
                <anchor>
                  <from>
                    <xdr:col>5</xdr:col>
                    <xdr:colOff>431800</xdr:colOff>
                    <xdr:row>2</xdr:row>
                    <xdr:rowOff>165100</xdr:rowOff>
                  </from>
                  <to>
                    <xdr:col>6</xdr:col>
                    <xdr:colOff>241300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autoFill="0" autoPict="0" macro="[0]!Sheet2.CopySheetsToNewWorkbook">
                <anchor moveWithCells="1" sizeWithCells="1">
                  <from>
                    <xdr:col>3</xdr:col>
                    <xdr:colOff>539750</xdr:colOff>
                    <xdr:row>14</xdr:row>
                    <xdr:rowOff>44450</xdr:rowOff>
                  </from>
                  <to>
                    <xdr:col>5</xdr:col>
                    <xdr:colOff>38100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F0D3-1641-4159-94CB-37B807838D87}">
  <sheetPr codeName="PLANS"/>
  <dimension ref="A1:H2"/>
  <sheetViews>
    <sheetView topLeftCell="A2167" workbookViewId="0">
      <selection activeCell="E2179" sqref="E2179"/>
    </sheetView>
  </sheetViews>
  <sheetFormatPr defaultColWidth="8.7265625" defaultRowHeight="10.5" x14ac:dyDescent="0.25"/>
  <cols>
    <col min="1" max="1" width="8.54296875" style="1" bestFit="1" customWidth="1"/>
    <col min="2" max="2" width="17" style="1" bestFit="1" customWidth="1"/>
    <col min="3" max="3" width="22.7265625" style="1" bestFit="1" customWidth="1"/>
    <col min="4" max="4" width="9.26953125" style="2" bestFit="1" customWidth="1"/>
    <col min="5" max="5" width="8.54296875" style="2" bestFit="1" customWidth="1"/>
    <col min="6" max="6" width="31.90625" style="1" bestFit="1" customWidth="1"/>
    <col min="7" max="7" width="13.6328125" style="2" bestFit="1" customWidth="1"/>
    <col min="8" max="8" width="12.90625" style="2" bestFit="1" customWidth="1"/>
    <col min="9" max="16384" width="8.7265625" style="1"/>
  </cols>
  <sheetData>
    <row r="1" spans="1:8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5" t="s">
        <v>4</v>
      </c>
      <c r="G1" s="12" t="s">
        <v>12</v>
      </c>
      <c r="H1" s="12" t="s">
        <v>13</v>
      </c>
    </row>
    <row r="2" spans="1:8" x14ac:dyDescent="0.25">
      <c r="A2" s="6"/>
      <c r="B2" s="6"/>
      <c r="C2" s="6"/>
      <c r="D2" s="16"/>
      <c r="E2" s="16"/>
      <c r="F2" s="13"/>
      <c r="G2" s="35"/>
      <c r="H2" s="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D1B4-3BB1-47B7-B56B-1B057B201AFC}">
  <sheetPr codeName="COMPONENTS"/>
  <dimension ref="A1:I7"/>
  <sheetViews>
    <sheetView workbookViewId="0">
      <selection activeCell="D20" sqref="D20"/>
    </sheetView>
  </sheetViews>
  <sheetFormatPr defaultColWidth="8.7265625" defaultRowHeight="10.5" x14ac:dyDescent="0.25"/>
  <cols>
    <col min="1" max="1" width="12.54296875" style="1" bestFit="1" customWidth="1"/>
    <col min="2" max="2" width="25" style="1" bestFit="1" customWidth="1"/>
    <col min="3" max="3" width="11" style="1" bestFit="1" customWidth="1"/>
    <col min="4" max="4" width="9.81640625" style="2" bestFit="1" customWidth="1"/>
    <col min="5" max="5" width="9.1796875" style="2" bestFit="1" customWidth="1"/>
    <col min="6" max="6" width="40" style="1" bestFit="1" customWidth="1"/>
    <col min="7" max="7" width="21.54296875" style="1" bestFit="1" customWidth="1"/>
    <col min="8" max="8" width="9.7265625" style="2" bestFit="1" customWidth="1"/>
    <col min="9" max="9" width="9" style="2" bestFit="1" customWidth="1"/>
    <col min="10" max="16384" width="8.7265625" style="1"/>
  </cols>
  <sheetData>
    <row r="1" spans="1:9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5" t="s">
        <v>8</v>
      </c>
      <c r="G1" s="5" t="s">
        <v>9</v>
      </c>
      <c r="H1" s="12" t="s">
        <v>10</v>
      </c>
      <c r="I1" s="12" t="s">
        <v>11</v>
      </c>
    </row>
    <row r="2" spans="1:9" x14ac:dyDescent="0.25">
      <c r="A2" s="6" t="s">
        <v>229</v>
      </c>
      <c r="B2" s="6" t="s">
        <v>540</v>
      </c>
      <c r="C2" s="6" t="s">
        <v>541</v>
      </c>
      <c r="D2" s="16">
        <v>45658</v>
      </c>
      <c r="E2" s="16">
        <v>109575</v>
      </c>
      <c r="F2" s="13" t="s">
        <v>346</v>
      </c>
      <c r="G2" s="13" t="s">
        <v>348</v>
      </c>
      <c r="H2" s="35">
        <v>45658</v>
      </c>
      <c r="I2" s="35">
        <v>109575</v>
      </c>
    </row>
    <row r="3" spans="1:9" x14ac:dyDescent="0.25">
      <c r="A3" s="6" t="s">
        <v>229</v>
      </c>
      <c r="B3" s="6" t="s">
        <v>540</v>
      </c>
      <c r="C3" s="6" t="s">
        <v>541</v>
      </c>
      <c r="D3" s="16">
        <v>45658</v>
      </c>
      <c r="E3" s="16">
        <v>109575</v>
      </c>
      <c r="F3" s="13" t="s">
        <v>341</v>
      </c>
      <c r="G3" s="13" t="s">
        <v>339</v>
      </c>
      <c r="H3" s="35">
        <v>45658</v>
      </c>
      <c r="I3" s="35">
        <v>109575</v>
      </c>
    </row>
    <row r="4" spans="1:9" x14ac:dyDescent="0.25">
      <c r="A4" s="6" t="s">
        <v>229</v>
      </c>
      <c r="B4" s="6" t="s">
        <v>540</v>
      </c>
      <c r="C4" s="6" t="s">
        <v>541</v>
      </c>
      <c r="D4" s="16">
        <v>45658</v>
      </c>
      <c r="E4" s="16">
        <v>109575</v>
      </c>
      <c r="F4" s="13" t="s">
        <v>408</v>
      </c>
      <c r="G4" s="13" t="s">
        <v>232</v>
      </c>
      <c r="H4" s="35">
        <v>45658</v>
      </c>
      <c r="I4" s="35">
        <v>109575</v>
      </c>
    </row>
    <row r="5" spans="1:9" x14ac:dyDescent="0.25">
      <c r="A5" s="6" t="s">
        <v>229</v>
      </c>
      <c r="B5" s="6" t="s">
        <v>540</v>
      </c>
      <c r="C5" s="6" t="s">
        <v>541</v>
      </c>
      <c r="D5" s="16">
        <v>45658</v>
      </c>
      <c r="E5" s="16">
        <v>109575</v>
      </c>
      <c r="F5" s="13" t="s">
        <v>400</v>
      </c>
      <c r="G5" s="13" t="s">
        <v>232</v>
      </c>
      <c r="H5" s="35">
        <v>45658</v>
      </c>
      <c r="I5" s="35">
        <v>109575</v>
      </c>
    </row>
    <row r="6" spans="1:9" x14ac:dyDescent="0.25">
      <c r="A6" s="6" t="s">
        <v>229</v>
      </c>
      <c r="B6" s="6" t="s">
        <v>540</v>
      </c>
      <c r="C6" s="6" t="s">
        <v>541</v>
      </c>
      <c r="D6" s="16">
        <v>45658</v>
      </c>
      <c r="E6" s="16">
        <v>109575</v>
      </c>
      <c r="F6" s="13" t="s">
        <v>411</v>
      </c>
      <c r="G6" s="13" t="s">
        <v>232</v>
      </c>
      <c r="H6" s="35">
        <v>45658</v>
      </c>
      <c r="I6" s="35">
        <v>109575</v>
      </c>
    </row>
    <row r="7" spans="1:9" x14ac:dyDescent="0.25">
      <c r="A7" s="6" t="s">
        <v>229</v>
      </c>
      <c r="B7" s="6" t="s">
        <v>540</v>
      </c>
      <c r="C7" s="6" t="s">
        <v>541</v>
      </c>
      <c r="D7" s="16">
        <v>45658</v>
      </c>
      <c r="E7" s="16">
        <v>109575</v>
      </c>
      <c r="F7" s="13" t="s">
        <v>404</v>
      </c>
      <c r="G7" s="13" t="s">
        <v>232</v>
      </c>
      <c r="H7" s="35">
        <v>45658</v>
      </c>
      <c r="I7" s="35">
        <v>109575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A7CC-204E-4014-B028-FB0B6CBBC99C}">
  <sheetPr codeName="CREDITRULES"/>
  <dimension ref="A1:BD2"/>
  <sheetViews>
    <sheetView topLeftCell="AB1" zoomScale="130" zoomScaleNormal="130" workbookViewId="0">
      <selection activeCell="C5" sqref="C5"/>
    </sheetView>
  </sheetViews>
  <sheetFormatPr defaultColWidth="8.7265625" defaultRowHeight="10.5" x14ac:dyDescent="0.25"/>
  <cols>
    <col min="1" max="1" width="8.54296875" style="1" customWidth="1"/>
    <col min="2" max="2" width="33.26953125" style="1" bestFit="1" customWidth="1"/>
    <col min="3" max="3" width="61.7265625" style="1" bestFit="1" customWidth="1"/>
    <col min="4" max="4" width="9.26953125" style="2" bestFit="1" customWidth="1"/>
    <col min="5" max="5" width="8.54296875" style="2" bestFit="1" customWidth="1"/>
    <col min="6" max="6" width="59.26953125" style="2" bestFit="1" customWidth="1"/>
    <col min="7" max="7" width="101.1796875" style="2" bestFit="1" customWidth="1"/>
    <col min="8" max="8" width="19.54296875" style="2" bestFit="1" customWidth="1"/>
    <col min="9" max="10" width="32.36328125" style="1" bestFit="1" customWidth="1"/>
    <col min="11" max="11" width="9.81640625" style="1" bestFit="1" customWidth="1"/>
    <col min="12" max="12" width="10.36328125" style="1" bestFit="1" customWidth="1"/>
    <col min="13" max="13" width="5.90625" style="1" bestFit="1" customWidth="1"/>
    <col min="14" max="14" width="8.90625" style="1" bestFit="1" customWidth="1"/>
    <col min="15" max="15" width="106.81640625" style="1" bestFit="1" customWidth="1"/>
    <col min="16" max="17" width="13.08984375" style="1" bestFit="1" customWidth="1"/>
    <col min="18" max="18" width="9.54296875" style="1" bestFit="1" customWidth="1"/>
    <col min="19" max="19" width="25.81640625" style="1" bestFit="1" customWidth="1"/>
    <col min="20" max="20" width="8.81640625" style="1" bestFit="1" customWidth="1"/>
    <col min="21" max="21" width="7.36328125" style="1" bestFit="1" customWidth="1"/>
    <col min="22" max="22" width="22.36328125" style="1" bestFit="1" customWidth="1"/>
    <col min="23" max="26" width="21.54296875" style="1" bestFit="1" customWidth="1"/>
    <col min="27" max="27" width="16.81640625" style="1" bestFit="1" customWidth="1"/>
    <col min="28" max="28" width="19.36328125" style="1" bestFit="1" customWidth="1"/>
    <col min="29" max="29" width="33.6328125" style="1" bestFit="1" customWidth="1"/>
    <col min="30" max="30" width="87.54296875" style="1" bestFit="1" customWidth="1"/>
    <col min="31" max="32" width="16.36328125" style="1" bestFit="1" customWidth="1"/>
    <col min="33" max="33" width="22.36328125" style="1" bestFit="1" customWidth="1"/>
    <col min="34" max="34" width="17.81640625" style="1" bestFit="1" customWidth="1"/>
    <col min="35" max="36" width="22.36328125" style="1" bestFit="1" customWidth="1"/>
    <col min="37" max="37" width="9.1796875" style="1" bestFit="1" customWidth="1"/>
    <col min="38" max="38" width="21.6328125" style="1" bestFit="1" customWidth="1"/>
    <col min="39" max="39" width="14.26953125" style="1" bestFit="1" customWidth="1"/>
    <col min="40" max="40" width="26.26953125" style="1" bestFit="1" customWidth="1"/>
    <col min="41" max="41" width="33.1796875" style="1" bestFit="1" customWidth="1"/>
    <col min="42" max="42" width="29.90625" style="1" bestFit="1" customWidth="1"/>
    <col min="43" max="43" width="44.7265625" style="1" bestFit="1" customWidth="1"/>
    <col min="44" max="44" width="17.6328125" style="1" bestFit="1" customWidth="1"/>
    <col min="45" max="45" width="19.08984375" style="1" bestFit="1" customWidth="1"/>
    <col min="46" max="46" width="13.81640625" style="1" bestFit="1" customWidth="1"/>
    <col min="47" max="47" width="19.08984375" style="1" bestFit="1" customWidth="1"/>
    <col min="48" max="50" width="5.453125" style="1" bestFit="1" customWidth="1"/>
    <col min="51" max="51" width="29.6328125" style="1" bestFit="1" customWidth="1"/>
    <col min="52" max="52" width="30.54296875" style="1" bestFit="1" customWidth="1"/>
    <col min="53" max="53" width="5.36328125" style="1" bestFit="1" customWidth="1"/>
    <col min="54" max="54" width="12.08984375" style="1" bestFit="1" customWidth="1"/>
    <col min="55" max="55" width="54.6328125" style="1" bestFit="1" customWidth="1"/>
    <col min="56" max="56" width="5.36328125" style="1" bestFit="1" customWidth="1"/>
    <col min="57" max="16384" width="8.7265625" style="1"/>
  </cols>
  <sheetData>
    <row r="1" spans="1:56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4" t="s">
        <v>61</v>
      </c>
      <c r="G1" s="4" t="s">
        <v>62</v>
      </c>
      <c r="H1" s="4" t="s">
        <v>9</v>
      </c>
      <c r="I1" s="5" t="s">
        <v>14</v>
      </c>
      <c r="J1" s="5" t="s">
        <v>15</v>
      </c>
      <c r="K1" s="5" t="s">
        <v>16</v>
      </c>
      <c r="L1" s="5" t="s">
        <v>17</v>
      </c>
      <c r="M1" s="5" t="s">
        <v>5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  <c r="S1" s="5" t="s">
        <v>23</v>
      </c>
      <c r="T1" s="5" t="s">
        <v>24</v>
      </c>
      <c r="U1" s="5" t="s">
        <v>25</v>
      </c>
      <c r="V1" s="5" t="s">
        <v>26</v>
      </c>
      <c r="W1" s="5" t="s">
        <v>27</v>
      </c>
      <c r="X1" s="5" t="s">
        <v>28</v>
      </c>
      <c r="Y1" s="5" t="s">
        <v>29</v>
      </c>
      <c r="Z1" s="5" t="s">
        <v>30</v>
      </c>
      <c r="AA1" s="5" t="s">
        <v>31</v>
      </c>
      <c r="AB1" s="5" t="s">
        <v>32</v>
      </c>
      <c r="AC1" s="5" t="s">
        <v>33</v>
      </c>
      <c r="AD1" s="5" t="s">
        <v>34</v>
      </c>
      <c r="AE1" s="5" t="s">
        <v>35</v>
      </c>
      <c r="AF1" s="5" t="s">
        <v>36</v>
      </c>
      <c r="AG1" s="5" t="s">
        <v>37</v>
      </c>
      <c r="AH1" s="5" t="s">
        <v>38</v>
      </c>
      <c r="AI1" s="5" t="s">
        <v>39</v>
      </c>
      <c r="AJ1" s="5" t="s">
        <v>40</v>
      </c>
      <c r="AK1" s="5" t="s">
        <v>41</v>
      </c>
      <c r="AL1" s="5" t="s">
        <v>42</v>
      </c>
      <c r="AM1" s="5" t="s">
        <v>43</v>
      </c>
      <c r="AN1" s="5" t="s">
        <v>44</v>
      </c>
      <c r="AO1" s="5" t="s">
        <v>45</v>
      </c>
      <c r="AP1" s="5" t="s">
        <v>46</v>
      </c>
      <c r="AQ1" s="5" t="s">
        <v>47</v>
      </c>
      <c r="AR1" s="5" t="s">
        <v>48</v>
      </c>
      <c r="AS1" s="5" t="s">
        <v>49</v>
      </c>
      <c r="AT1" s="5" t="s">
        <v>50</v>
      </c>
      <c r="AU1" s="5" t="s">
        <v>51</v>
      </c>
      <c r="AV1" s="5" t="s">
        <v>52</v>
      </c>
      <c r="AW1" s="5" t="s">
        <v>53</v>
      </c>
      <c r="AX1" s="5" t="s">
        <v>54</v>
      </c>
      <c r="AY1" s="5" t="s">
        <v>55</v>
      </c>
      <c r="AZ1" s="5" t="s">
        <v>56</v>
      </c>
      <c r="BA1" s="5" t="s">
        <v>57</v>
      </c>
      <c r="BB1" s="5" t="s">
        <v>58</v>
      </c>
      <c r="BC1" s="5" t="s">
        <v>59</v>
      </c>
      <c r="BD1" s="5" t="s">
        <v>60</v>
      </c>
    </row>
    <row r="2" spans="1:56" x14ac:dyDescent="0.25">
      <c r="A2" s="6"/>
      <c r="B2" s="6"/>
      <c r="C2" s="6"/>
      <c r="D2" s="16"/>
      <c r="E2" s="16"/>
      <c r="F2" s="16"/>
      <c r="G2" s="16"/>
      <c r="H2" s="16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10"/>
      <c r="AN2" s="10"/>
      <c r="AO2" s="10"/>
      <c r="AP2" s="10"/>
      <c r="AQ2" s="10"/>
      <c r="AR2" s="10"/>
      <c r="AS2" s="11"/>
      <c r="AT2" s="11"/>
      <c r="AU2" s="11"/>
      <c r="AV2" s="11"/>
      <c r="AW2" s="11"/>
      <c r="AX2" s="11"/>
      <c r="AY2" s="8"/>
      <c r="AZ2" s="8"/>
      <c r="BA2" s="8"/>
      <c r="BB2" s="8"/>
      <c r="BC2" s="8"/>
      <c r="BD2" s="8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803E-3592-4D5C-A35E-AD5347952CDE}">
  <sheetPr codeName="MEASUREMENTS"/>
  <dimension ref="A1:AV22"/>
  <sheetViews>
    <sheetView topLeftCell="A4" zoomScale="115" zoomScaleNormal="115" workbookViewId="0">
      <selection activeCell="B8" sqref="B8"/>
    </sheetView>
  </sheetViews>
  <sheetFormatPr defaultColWidth="8.7265625" defaultRowHeight="10.5" x14ac:dyDescent="0.25"/>
  <cols>
    <col min="1" max="1" width="9.26953125" style="1" bestFit="1" customWidth="1"/>
    <col min="2" max="2" width="39.08984375" style="1" bestFit="1" customWidth="1"/>
    <col min="3" max="3" width="52.6328125" style="1" bestFit="1" customWidth="1"/>
    <col min="4" max="4" width="9.26953125" style="2" bestFit="1" customWidth="1"/>
    <col min="5" max="5" width="8.54296875" style="2" bestFit="1" customWidth="1"/>
    <col min="6" max="6" width="66" style="1" customWidth="1"/>
    <col min="7" max="7" width="18.6328125" style="1" bestFit="1" customWidth="1"/>
    <col min="8" max="9" width="38.26953125" style="1" bestFit="1" customWidth="1"/>
    <col min="10" max="10" width="9.81640625" style="1" bestFit="1" customWidth="1"/>
    <col min="11" max="11" width="10.36328125" style="1" bestFit="1" customWidth="1"/>
    <col min="12" max="12" width="9.81640625" style="1" bestFit="1" customWidth="1"/>
    <col min="13" max="13" width="8.90625" style="1" bestFit="1" customWidth="1"/>
    <col min="14" max="14" width="127.90625" style="1" bestFit="1" customWidth="1"/>
    <col min="15" max="15" width="57" style="1" bestFit="1" customWidth="1"/>
    <col min="16" max="16" width="17" style="1" bestFit="1" customWidth="1"/>
    <col min="17" max="17" width="12" style="1" bestFit="1" customWidth="1"/>
    <col min="18" max="18" width="9.6328125" style="1" bestFit="1" customWidth="1"/>
    <col min="19" max="23" width="5.453125" style="1" bestFit="1" customWidth="1"/>
    <col min="24" max="29" width="6.1796875" style="1" bestFit="1" customWidth="1"/>
    <col min="30" max="30" width="39.08984375" style="1" customWidth="1"/>
    <col min="31" max="31" width="68.453125" style="1" bestFit="1" customWidth="1"/>
    <col min="32" max="32" width="37.36328125" style="1" bestFit="1" customWidth="1"/>
    <col min="33" max="33" width="54.81640625" style="1" bestFit="1" customWidth="1"/>
    <col min="34" max="34" width="27.08984375" style="1" bestFit="1" customWidth="1"/>
    <col min="35" max="35" width="32.7265625" style="1" customWidth="1"/>
    <col min="36" max="36" width="28.6328125" style="1" bestFit="1" customWidth="1"/>
    <col min="37" max="42" width="5.453125" style="1" bestFit="1" customWidth="1"/>
    <col min="43" max="43" width="5.36328125" style="1" bestFit="1" customWidth="1"/>
    <col min="44" max="44" width="124.453125" style="1" bestFit="1" customWidth="1"/>
    <col min="45" max="45" width="5.36328125" style="1" bestFit="1" customWidth="1"/>
    <col min="46" max="46" width="159" style="1" bestFit="1" customWidth="1"/>
    <col min="47" max="48" width="5.36328125" style="1" bestFit="1" customWidth="1"/>
    <col min="49" max="16384" width="8.7265625" style="1"/>
  </cols>
  <sheetData>
    <row r="1" spans="1:48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3" t="s">
        <v>61</v>
      </c>
      <c r="G1" s="3" t="s">
        <v>9</v>
      </c>
      <c r="H1" s="5" t="s">
        <v>14</v>
      </c>
      <c r="I1" s="5" t="s">
        <v>15</v>
      </c>
      <c r="J1" s="5" t="s">
        <v>16</v>
      </c>
      <c r="K1" s="5" t="s">
        <v>17</v>
      </c>
      <c r="L1" s="5" t="s">
        <v>5</v>
      </c>
      <c r="M1" s="5" t="s">
        <v>18</v>
      </c>
      <c r="N1" s="5" t="s">
        <v>19</v>
      </c>
      <c r="O1" s="5" t="s">
        <v>27</v>
      </c>
      <c r="P1" s="5" t="s">
        <v>28</v>
      </c>
      <c r="Q1" s="5" t="s">
        <v>29</v>
      </c>
      <c r="R1" s="5" t="s">
        <v>30</v>
      </c>
      <c r="S1" s="5" t="s">
        <v>31</v>
      </c>
      <c r="T1" s="5" t="s">
        <v>32</v>
      </c>
      <c r="U1" s="5" t="s">
        <v>33</v>
      </c>
      <c r="V1" s="5" t="s">
        <v>34</v>
      </c>
      <c r="W1" s="5" t="s">
        <v>35</v>
      </c>
      <c r="X1" s="5" t="s">
        <v>36</v>
      </c>
      <c r="Y1" s="5" t="s">
        <v>37</v>
      </c>
      <c r="Z1" s="5" t="s">
        <v>38</v>
      </c>
      <c r="AA1" s="5" t="s">
        <v>39</v>
      </c>
      <c r="AB1" s="5" t="s">
        <v>40</v>
      </c>
      <c r="AC1" s="5" t="s">
        <v>41</v>
      </c>
      <c r="AD1" s="5" t="s">
        <v>42</v>
      </c>
      <c r="AE1" s="5" t="s">
        <v>43</v>
      </c>
      <c r="AF1" s="5" t="s">
        <v>44</v>
      </c>
      <c r="AG1" s="5" t="s">
        <v>45</v>
      </c>
      <c r="AH1" s="5" t="s">
        <v>46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51</v>
      </c>
      <c r="AN1" s="5" t="s">
        <v>52</v>
      </c>
      <c r="AO1" s="5" t="s">
        <v>53</v>
      </c>
      <c r="AP1" s="5" t="s">
        <v>54</v>
      </c>
      <c r="AQ1" s="5" t="s">
        <v>55</v>
      </c>
      <c r="AR1" s="5" t="s">
        <v>56</v>
      </c>
      <c r="AS1" s="5" t="s">
        <v>57</v>
      </c>
      <c r="AT1" s="5" t="s">
        <v>58</v>
      </c>
      <c r="AU1" s="5" t="s">
        <v>59</v>
      </c>
      <c r="AV1" s="5" t="s">
        <v>60</v>
      </c>
    </row>
    <row r="2" spans="1:48" x14ac:dyDescent="0.25">
      <c r="A2" s="8" t="s">
        <v>229</v>
      </c>
      <c r="B2" s="8" t="s">
        <v>354</v>
      </c>
      <c r="C2" s="8" t="s">
        <v>355</v>
      </c>
      <c r="D2" s="15">
        <v>42005</v>
      </c>
      <c r="E2" s="15">
        <v>109575</v>
      </c>
      <c r="F2" s="8" t="s">
        <v>356</v>
      </c>
      <c r="G2" s="8" t="s">
        <v>357</v>
      </c>
      <c r="H2" s="7" t="s">
        <v>358</v>
      </c>
      <c r="I2" s="7" t="s">
        <v>358</v>
      </c>
      <c r="J2" s="7">
        <v>1</v>
      </c>
      <c r="K2" s="7" t="s">
        <v>234</v>
      </c>
      <c r="L2" s="7" t="s">
        <v>235</v>
      </c>
      <c r="M2" s="7" t="s">
        <v>236</v>
      </c>
      <c r="N2" s="61" t="s">
        <v>359</v>
      </c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10"/>
      <c r="AF2" s="10"/>
      <c r="AG2" s="10"/>
      <c r="AH2" s="10"/>
      <c r="AI2" s="62"/>
      <c r="AJ2" s="62"/>
      <c r="AK2" s="63"/>
      <c r="AL2" s="11"/>
      <c r="AM2" s="11"/>
      <c r="AN2" s="11"/>
      <c r="AO2" s="11"/>
      <c r="AP2" s="11"/>
      <c r="AQ2" s="8"/>
      <c r="AR2" s="8"/>
      <c r="AS2" s="8"/>
      <c r="AT2" s="8"/>
      <c r="AU2" s="8"/>
      <c r="AV2" s="8"/>
    </row>
    <row r="3" spans="1:48" x14ac:dyDescent="0.25">
      <c r="A3" s="8" t="s">
        <v>229</v>
      </c>
      <c r="B3" s="8" t="s">
        <v>360</v>
      </c>
      <c r="C3" s="8" t="s">
        <v>361</v>
      </c>
      <c r="D3" s="15">
        <v>42005</v>
      </c>
      <c r="E3" s="15">
        <v>109575</v>
      </c>
      <c r="F3" s="8" t="s">
        <v>362</v>
      </c>
      <c r="G3" s="8" t="s">
        <v>357</v>
      </c>
      <c r="H3" s="7" t="s">
        <v>363</v>
      </c>
      <c r="I3" s="7" t="s">
        <v>363</v>
      </c>
      <c r="J3" s="7">
        <v>1</v>
      </c>
      <c r="K3" s="7" t="s">
        <v>234</v>
      </c>
      <c r="L3" s="7" t="s">
        <v>235</v>
      </c>
      <c r="M3" s="7" t="s">
        <v>236</v>
      </c>
      <c r="N3" s="61" t="s">
        <v>359</v>
      </c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10"/>
      <c r="AF3" s="10"/>
      <c r="AG3" s="10"/>
      <c r="AH3" s="10"/>
      <c r="AI3" s="62"/>
      <c r="AJ3" s="62"/>
      <c r="AK3" s="63"/>
      <c r="AL3" s="11"/>
      <c r="AM3" s="11"/>
      <c r="AN3" s="11"/>
      <c r="AO3" s="11"/>
      <c r="AP3" s="11"/>
      <c r="AQ3" s="8"/>
      <c r="AR3" s="8"/>
      <c r="AS3" s="8"/>
      <c r="AT3" s="8"/>
      <c r="AU3" s="8"/>
      <c r="AV3" s="8"/>
    </row>
    <row r="4" spans="1:48" x14ac:dyDescent="0.25">
      <c r="A4" s="8" t="s">
        <v>229</v>
      </c>
      <c r="B4" s="8" t="s">
        <v>364</v>
      </c>
      <c r="C4" s="8" t="s">
        <v>355</v>
      </c>
      <c r="D4" s="15">
        <v>42005</v>
      </c>
      <c r="E4" s="15">
        <v>109575</v>
      </c>
      <c r="F4" s="8" t="s">
        <v>365</v>
      </c>
      <c r="G4" s="8" t="s">
        <v>357</v>
      </c>
      <c r="H4" s="7" t="s">
        <v>366</v>
      </c>
      <c r="I4" s="7" t="s">
        <v>366</v>
      </c>
      <c r="J4" s="7">
        <v>1</v>
      </c>
      <c r="K4" s="7" t="s">
        <v>234</v>
      </c>
      <c r="L4" s="7" t="s">
        <v>235</v>
      </c>
      <c r="M4" s="7" t="s">
        <v>236</v>
      </c>
      <c r="N4" s="61" t="s">
        <v>359</v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10"/>
      <c r="AF4" s="10"/>
      <c r="AG4" s="10"/>
      <c r="AH4" s="10"/>
      <c r="AI4" s="62"/>
      <c r="AJ4" s="62"/>
      <c r="AK4" s="63"/>
      <c r="AL4" s="11"/>
      <c r="AM4" s="11"/>
      <c r="AN4" s="11"/>
      <c r="AO4" s="11"/>
      <c r="AP4" s="11"/>
      <c r="AQ4" s="8"/>
      <c r="AR4" s="8"/>
      <c r="AS4" s="8"/>
      <c r="AT4" s="8"/>
      <c r="AU4" s="8"/>
      <c r="AV4" s="8"/>
    </row>
    <row r="5" spans="1:48" x14ac:dyDescent="0.25">
      <c r="A5" s="8" t="s">
        <v>229</v>
      </c>
      <c r="B5" s="8" t="s">
        <v>367</v>
      </c>
      <c r="C5" s="8" t="s">
        <v>361</v>
      </c>
      <c r="D5" s="15">
        <v>42005</v>
      </c>
      <c r="E5" s="15">
        <v>109575</v>
      </c>
      <c r="F5" s="8" t="s">
        <v>368</v>
      </c>
      <c r="G5" s="8" t="s">
        <v>357</v>
      </c>
      <c r="H5" s="7" t="s">
        <v>369</v>
      </c>
      <c r="I5" s="7" t="s">
        <v>369</v>
      </c>
      <c r="J5" s="7">
        <v>1</v>
      </c>
      <c r="K5" s="7" t="s">
        <v>234</v>
      </c>
      <c r="L5" s="7" t="s">
        <v>235</v>
      </c>
      <c r="M5" s="7" t="s">
        <v>236</v>
      </c>
      <c r="N5" s="61" t="s">
        <v>359</v>
      </c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10"/>
      <c r="AF5" s="10"/>
      <c r="AG5" s="10"/>
      <c r="AH5" s="10"/>
      <c r="AI5" s="62"/>
      <c r="AJ5" s="62"/>
      <c r="AK5" s="63"/>
      <c r="AL5" s="11"/>
      <c r="AM5" s="11"/>
      <c r="AN5" s="11"/>
      <c r="AO5" s="11"/>
      <c r="AP5" s="11"/>
      <c r="AQ5" s="8"/>
      <c r="AR5" s="8"/>
      <c r="AS5" s="8"/>
      <c r="AT5" s="8"/>
      <c r="AU5" s="8"/>
      <c r="AV5" s="8"/>
    </row>
    <row r="6" spans="1:48" x14ac:dyDescent="0.25">
      <c r="A6" s="8" t="s">
        <v>229</v>
      </c>
      <c r="B6" s="8" t="s">
        <v>370</v>
      </c>
      <c r="C6" s="8" t="s">
        <v>355</v>
      </c>
      <c r="D6" s="15">
        <v>42005</v>
      </c>
      <c r="E6" s="15">
        <v>109575</v>
      </c>
      <c r="F6" s="8" t="s">
        <v>365</v>
      </c>
      <c r="G6" s="8" t="s">
        <v>357</v>
      </c>
      <c r="H6" s="7" t="s">
        <v>371</v>
      </c>
      <c r="I6" s="7" t="s">
        <v>371</v>
      </c>
      <c r="J6" s="7">
        <v>1</v>
      </c>
      <c r="K6" s="7" t="s">
        <v>234</v>
      </c>
      <c r="L6" s="7" t="s">
        <v>235</v>
      </c>
      <c r="M6" s="7" t="s">
        <v>242</v>
      </c>
      <c r="N6" s="61" t="s">
        <v>372</v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10"/>
      <c r="AF6" s="10"/>
      <c r="AG6" s="10"/>
      <c r="AH6" s="10"/>
      <c r="AI6" s="62"/>
      <c r="AJ6" s="62"/>
      <c r="AK6" s="63"/>
      <c r="AL6" s="11"/>
      <c r="AM6" s="11"/>
      <c r="AN6" s="11"/>
      <c r="AO6" s="11"/>
      <c r="AP6" s="11"/>
      <c r="AQ6" s="8"/>
      <c r="AR6" s="8"/>
      <c r="AS6" s="8"/>
      <c r="AT6" s="8"/>
      <c r="AU6" s="8"/>
      <c r="AV6" s="8"/>
    </row>
    <row r="7" spans="1:48" x14ac:dyDescent="0.25">
      <c r="A7" s="8" t="s">
        <v>229</v>
      </c>
      <c r="B7" s="8" t="s">
        <v>373</v>
      </c>
      <c r="C7" s="8" t="s">
        <v>361</v>
      </c>
      <c r="D7" s="15">
        <v>42005</v>
      </c>
      <c r="E7" s="15">
        <v>109575</v>
      </c>
      <c r="F7" s="8" t="s">
        <v>374</v>
      </c>
      <c r="G7" s="8" t="s">
        <v>357</v>
      </c>
      <c r="H7" s="7" t="s">
        <v>375</v>
      </c>
      <c r="I7" s="7" t="s">
        <v>375</v>
      </c>
      <c r="J7" s="7">
        <v>1</v>
      </c>
      <c r="K7" s="7" t="s">
        <v>234</v>
      </c>
      <c r="L7" s="7" t="s">
        <v>235</v>
      </c>
      <c r="M7" s="7" t="s">
        <v>242</v>
      </c>
      <c r="N7" s="61" t="s">
        <v>359</v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10"/>
      <c r="AF7" s="10"/>
      <c r="AG7" s="10"/>
      <c r="AH7" s="10"/>
      <c r="AI7" s="62"/>
      <c r="AJ7" s="62"/>
      <c r="AK7" s="63"/>
      <c r="AL7" s="11"/>
      <c r="AM7" s="11"/>
      <c r="AN7" s="11"/>
      <c r="AO7" s="11"/>
      <c r="AP7" s="11"/>
      <c r="AQ7" s="8"/>
      <c r="AR7" s="8"/>
      <c r="AS7" s="8"/>
      <c r="AT7" s="8"/>
      <c r="AU7" s="8"/>
      <c r="AV7" s="8"/>
    </row>
    <row r="8" spans="1:48" x14ac:dyDescent="0.25">
      <c r="A8" s="8" t="s">
        <v>229</v>
      </c>
      <c r="B8" s="8" t="s">
        <v>323</v>
      </c>
      <c r="C8" s="8" t="s">
        <v>324</v>
      </c>
      <c r="D8" s="15">
        <v>42005</v>
      </c>
      <c r="E8" s="15">
        <v>109575</v>
      </c>
      <c r="F8" s="8"/>
      <c r="G8" s="8" t="s">
        <v>232</v>
      </c>
      <c r="H8" s="7" t="s">
        <v>293</v>
      </c>
      <c r="I8" s="7" t="s">
        <v>325</v>
      </c>
      <c r="J8" s="7">
        <v>1</v>
      </c>
      <c r="K8" s="7" t="s">
        <v>234</v>
      </c>
      <c r="L8" s="7" t="s">
        <v>235</v>
      </c>
      <c r="M8" s="7" t="s">
        <v>242</v>
      </c>
      <c r="N8" s="61" t="s">
        <v>326</v>
      </c>
      <c r="O8" s="9" t="s">
        <v>299</v>
      </c>
      <c r="P8" s="9" t="s">
        <v>238</v>
      </c>
      <c r="Q8" s="9" t="s">
        <v>243</v>
      </c>
      <c r="R8" s="9" t="s">
        <v>298</v>
      </c>
      <c r="S8" s="9" t="s">
        <v>244</v>
      </c>
      <c r="T8" s="9" t="s">
        <v>240</v>
      </c>
      <c r="U8" s="9" t="s">
        <v>240</v>
      </c>
      <c r="V8" s="9" t="s">
        <v>240</v>
      </c>
      <c r="W8" s="9" t="s">
        <v>240</v>
      </c>
      <c r="X8" s="9" t="s">
        <v>240</v>
      </c>
      <c r="Y8" s="9" t="s">
        <v>240</v>
      </c>
      <c r="Z8" s="9" t="s">
        <v>240</v>
      </c>
      <c r="AA8" s="9" t="s">
        <v>240</v>
      </c>
      <c r="AB8" s="9" t="s">
        <v>240</v>
      </c>
      <c r="AC8" s="9" t="s">
        <v>240</v>
      </c>
      <c r="AD8" s="9" t="s">
        <v>240</v>
      </c>
      <c r="AE8" s="10" t="s">
        <v>294</v>
      </c>
      <c r="AF8" s="10" t="s">
        <v>327</v>
      </c>
      <c r="AG8" s="10" t="s">
        <v>240</v>
      </c>
      <c r="AH8" s="10" t="s">
        <v>240</v>
      </c>
      <c r="AI8" s="62" t="s">
        <v>240</v>
      </c>
      <c r="AJ8" s="62" t="s">
        <v>240</v>
      </c>
      <c r="AK8" s="63" t="s">
        <v>240</v>
      </c>
      <c r="AL8" s="11" t="s">
        <v>240</v>
      </c>
      <c r="AM8" s="11" t="s">
        <v>240</v>
      </c>
      <c r="AN8" s="11" t="s">
        <v>240</v>
      </c>
      <c r="AO8" s="11" t="s">
        <v>240</v>
      </c>
      <c r="AP8" s="11" t="s">
        <v>240</v>
      </c>
      <c r="AQ8" s="8" t="b">
        <v>1</v>
      </c>
      <c r="AR8" s="8" t="s">
        <v>240</v>
      </c>
      <c r="AS8" s="8" t="s">
        <v>240</v>
      </c>
      <c r="AT8" s="8" t="s">
        <v>328</v>
      </c>
      <c r="AU8" s="8" t="s">
        <v>240</v>
      </c>
      <c r="AV8" s="8" t="s">
        <v>240</v>
      </c>
    </row>
    <row r="9" spans="1:48" x14ac:dyDescent="0.25">
      <c r="A9" s="8" t="s">
        <v>229</v>
      </c>
      <c r="B9" s="8" t="s">
        <v>376</v>
      </c>
      <c r="C9" s="8" t="s">
        <v>377</v>
      </c>
      <c r="D9" s="15">
        <v>42005</v>
      </c>
      <c r="E9" s="15">
        <v>109575</v>
      </c>
      <c r="F9" s="8" t="s">
        <v>378</v>
      </c>
      <c r="G9" s="8" t="s">
        <v>357</v>
      </c>
      <c r="H9" s="7" t="s">
        <v>379</v>
      </c>
      <c r="I9" s="7" t="s">
        <v>379</v>
      </c>
      <c r="J9" s="7">
        <v>1</v>
      </c>
      <c r="K9" s="7" t="s">
        <v>234</v>
      </c>
      <c r="L9" s="7" t="s">
        <v>235</v>
      </c>
      <c r="M9" s="7" t="s">
        <v>236</v>
      </c>
      <c r="N9" s="61" t="s">
        <v>359</v>
      </c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10"/>
      <c r="AF9" s="10"/>
      <c r="AG9" s="10"/>
      <c r="AH9" s="10"/>
      <c r="AI9" s="62"/>
      <c r="AJ9" s="62"/>
      <c r="AK9" s="63"/>
      <c r="AL9" s="11"/>
      <c r="AM9" s="11"/>
      <c r="AN9" s="11"/>
      <c r="AO9" s="11"/>
      <c r="AP9" s="11"/>
      <c r="AQ9" s="8"/>
      <c r="AR9" s="8"/>
      <c r="AS9" s="8"/>
      <c r="AT9" s="8"/>
      <c r="AU9" s="8"/>
      <c r="AV9" s="8"/>
    </row>
    <row r="10" spans="1:48" x14ac:dyDescent="0.25">
      <c r="A10" s="8" t="s">
        <v>229</v>
      </c>
      <c r="B10" s="8" t="s">
        <v>380</v>
      </c>
      <c r="C10" s="8" t="s">
        <v>381</v>
      </c>
      <c r="D10" s="15">
        <v>42005</v>
      </c>
      <c r="E10" s="15">
        <v>109575</v>
      </c>
      <c r="F10" s="8" t="s">
        <v>382</v>
      </c>
      <c r="G10" s="8" t="s">
        <v>357</v>
      </c>
      <c r="H10" s="7" t="s">
        <v>307</v>
      </c>
      <c r="I10" s="7" t="s">
        <v>307</v>
      </c>
      <c r="J10" s="7">
        <v>1</v>
      </c>
      <c r="K10" s="7" t="s">
        <v>234</v>
      </c>
      <c r="L10" s="7" t="s">
        <v>235</v>
      </c>
      <c r="M10" s="7" t="s">
        <v>236</v>
      </c>
      <c r="N10" s="61" t="s">
        <v>383</v>
      </c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10"/>
      <c r="AF10" s="10"/>
      <c r="AG10" s="10"/>
      <c r="AH10" s="10"/>
      <c r="AI10" s="62"/>
      <c r="AJ10" s="62"/>
      <c r="AK10" s="63"/>
      <c r="AL10" s="11"/>
      <c r="AM10" s="11"/>
      <c r="AN10" s="11"/>
      <c r="AO10" s="11"/>
      <c r="AP10" s="11"/>
      <c r="AQ10" s="8"/>
      <c r="AR10" s="8"/>
      <c r="AS10" s="8"/>
      <c r="AT10" s="8"/>
      <c r="AU10" s="8"/>
      <c r="AV10" s="8"/>
    </row>
    <row r="11" spans="1:48" x14ac:dyDescent="0.25">
      <c r="A11" s="8" t="s">
        <v>229</v>
      </c>
      <c r="B11" s="8" t="s">
        <v>384</v>
      </c>
      <c r="C11" s="8" t="s">
        <v>385</v>
      </c>
      <c r="D11" s="15">
        <v>42005</v>
      </c>
      <c r="E11" s="15">
        <v>109575</v>
      </c>
      <c r="F11" s="8" t="s">
        <v>386</v>
      </c>
      <c r="G11" s="8" t="s">
        <v>357</v>
      </c>
      <c r="H11" s="7" t="s">
        <v>387</v>
      </c>
      <c r="I11" s="7" t="s">
        <v>387</v>
      </c>
      <c r="J11" s="7">
        <v>1</v>
      </c>
      <c r="K11" s="7" t="s">
        <v>234</v>
      </c>
      <c r="L11" s="7" t="s">
        <v>235</v>
      </c>
      <c r="M11" s="7" t="s">
        <v>236</v>
      </c>
      <c r="N11" s="61" t="s">
        <v>359</v>
      </c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10"/>
      <c r="AF11" s="10"/>
      <c r="AG11" s="10"/>
      <c r="AH11" s="10"/>
      <c r="AI11" s="62"/>
      <c r="AJ11" s="62"/>
      <c r="AK11" s="63"/>
      <c r="AL11" s="11"/>
      <c r="AM11" s="11"/>
      <c r="AN11" s="11"/>
      <c r="AO11" s="11"/>
      <c r="AP11" s="11"/>
      <c r="AQ11" s="8"/>
      <c r="AR11" s="8"/>
      <c r="AS11" s="8"/>
      <c r="AT11" s="8"/>
      <c r="AU11" s="8"/>
      <c r="AV11" s="8"/>
    </row>
    <row r="12" spans="1:48" x14ac:dyDescent="0.25">
      <c r="A12" s="8" t="s">
        <v>229</v>
      </c>
      <c r="B12" s="8" t="s">
        <v>388</v>
      </c>
      <c r="C12" s="8" t="s">
        <v>389</v>
      </c>
      <c r="D12" s="15">
        <v>42005</v>
      </c>
      <c r="E12" s="15">
        <v>109575</v>
      </c>
      <c r="F12" s="8" t="s">
        <v>390</v>
      </c>
      <c r="G12" s="8" t="s">
        <v>357</v>
      </c>
      <c r="H12" s="7" t="s">
        <v>391</v>
      </c>
      <c r="I12" s="7" t="s">
        <v>391</v>
      </c>
      <c r="J12" s="7">
        <v>1</v>
      </c>
      <c r="K12" s="7" t="s">
        <v>234</v>
      </c>
      <c r="L12" s="7" t="s">
        <v>235</v>
      </c>
      <c r="M12" s="7" t="s">
        <v>236</v>
      </c>
      <c r="N12" s="61" t="s">
        <v>359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10"/>
      <c r="AF12" s="10"/>
      <c r="AG12" s="10"/>
      <c r="AH12" s="10"/>
      <c r="AI12" s="62"/>
      <c r="AJ12" s="62"/>
      <c r="AK12" s="63"/>
      <c r="AL12" s="11"/>
      <c r="AM12" s="11"/>
      <c r="AN12" s="11"/>
      <c r="AO12" s="11"/>
      <c r="AP12" s="11"/>
      <c r="AQ12" s="8"/>
      <c r="AR12" s="8"/>
      <c r="AS12" s="8"/>
      <c r="AT12" s="8"/>
      <c r="AU12" s="8"/>
      <c r="AV12" s="8"/>
    </row>
    <row r="13" spans="1:48" x14ac:dyDescent="0.25">
      <c r="A13" s="8" t="s">
        <v>229</v>
      </c>
      <c r="B13" s="8" t="s">
        <v>392</v>
      </c>
      <c r="C13" s="8" t="s">
        <v>393</v>
      </c>
      <c r="D13" s="15">
        <v>42005</v>
      </c>
      <c r="E13" s="15">
        <v>109575</v>
      </c>
      <c r="F13" s="8" t="s">
        <v>394</v>
      </c>
      <c r="G13" s="8" t="s">
        <v>357</v>
      </c>
      <c r="H13" s="7" t="s">
        <v>395</v>
      </c>
      <c r="I13" s="7" t="s">
        <v>395</v>
      </c>
      <c r="J13" s="7">
        <v>1</v>
      </c>
      <c r="K13" s="7" t="s">
        <v>234</v>
      </c>
      <c r="L13" s="7" t="s">
        <v>235</v>
      </c>
      <c r="M13" s="7" t="s">
        <v>236</v>
      </c>
      <c r="N13" s="61" t="s">
        <v>359</v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10"/>
      <c r="AF13" s="10"/>
      <c r="AG13" s="10"/>
      <c r="AH13" s="10"/>
      <c r="AI13" s="62"/>
      <c r="AJ13" s="62"/>
      <c r="AK13" s="63"/>
      <c r="AL13" s="11"/>
      <c r="AM13" s="11"/>
      <c r="AN13" s="11"/>
      <c r="AO13" s="11"/>
      <c r="AP13" s="11"/>
      <c r="AQ13" s="8"/>
      <c r="AR13" s="8"/>
      <c r="AS13" s="8"/>
      <c r="AT13" s="8"/>
      <c r="AU13" s="8"/>
      <c r="AV13" s="8"/>
    </row>
    <row r="14" spans="1:48" x14ac:dyDescent="0.25">
      <c r="A14" s="8" t="s">
        <v>229</v>
      </c>
      <c r="B14" s="8" t="s">
        <v>396</v>
      </c>
      <c r="C14" s="8" t="s">
        <v>397</v>
      </c>
      <c r="D14" s="15">
        <v>42005</v>
      </c>
      <c r="E14" s="15">
        <v>109575</v>
      </c>
      <c r="F14" s="8" t="s">
        <v>398</v>
      </c>
      <c r="G14" s="8" t="s">
        <v>357</v>
      </c>
      <c r="H14" s="7" t="s">
        <v>399</v>
      </c>
      <c r="I14" s="7" t="s">
        <v>399</v>
      </c>
      <c r="J14" s="7">
        <v>1</v>
      </c>
      <c r="K14" s="7" t="s">
        <v>234</v>
      </c>
      <c r="L14" s="7" t="s">
        <v>235</v>
      </c>
      <c r="M14" s="7" t="s">
        <v>236</v>
      </c>
      <c r="N14" s="61" t="s">
        <v>359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10"/>
      <c r="AF14" s="10"/>
      <c r="AG14" s="10"/>
      <c r="AH14" s="10"/>
      <c r="AI14" s="62"/>
      <c r="AJ14" s="62"/>
      <c r="AK14" s="63"/>
      <c r="AL14" s="11"/>
      <c r="AM14" s="11"/>
      <c r="AN14" s="11"/>
      <c r="AO14" s="11"/>
      <c r="AP14" s="11"/>
      <c r="AQ14" s="8"/>
      <c r="AR14" s="8"/>
      <c r="AS14" s="8"/>
      <c r="AT14" s="8"/>
      <c r="AU14" s="8"/>
      <c r="AV14" s="8"/>
    </row>
    <row r="15" spans="1:48" ht="31.5" x14ac:dyDescent="0.25">
      <c r="A15" s="8" t="s">
        <v>229</v>
      </c>
      <c r="B15" s="8" t="s">
        <v>269</v>
      </c>
      <c r="C15" s="8" t="s">
        <v>267</v>
      </c>
      <c r="D15" s="15">
        <v>42005</v>
      </c>
      <c r="E15" s="15">
        <v>109575</v>
      </c>
      <c r="F15" s="8"/>
      <c r="G15" s="8" t="s">
        <v>232</v>
      </c>
      <c r="H15" s="7" t="s">
        <v>270</v>
      </c>
      <c r="I15" s="7" t="s">
        <v>271</v>
      </c>
      <c r="J15" s="7">
        <v>1</v>
      </c>
      <c r="K15" s="7" t="s">
        <v>234</v>
      </c>
      <c r="L15" s="7" t="s">
        <v>235</v>
      </c>
      <c r="M15" s="7" t="s">
        <v>236</v>
      </c>
      <c r="N15" s="61" t="s">
        <v>272</v>
      </c>
      <c r="O15" s="9" t="s">
        <v>273</v>
      </c>
      <c r="P15" s="9" t="s">
        <v>238</v>
      </c>
      <c r="Q15" s="9" t="s">
        <v>255</v>
      </c>
      <c r="R15" s="9" t="s">
        <v>268</v>
      </c>
      <c r="S15" s="9" t="s">
        <v>239</v>
      </c>
      <c r="T15" s="9" t="s">
        <v>245</v>
      </c>
      <c r="U15" s="9" t="s">
        <v>246</v>
      </c>
      <c r="V15" s="9" t="s">
        <v>247</v>
      </c>
      <c r="W15" s="9" t="s">
        <v>248</v>
      </c>
      <c r="X15" s="9" t="s">
        <v>249</v>
      </c>
      <c r="Y15" s="9" t="s">
        <v>250</v>
      </c>
      <c r="Z15" s="9" t="s">
        <v>240</v>
      </c>
      <c r="AA15" s="9" t="s">
        <v>240</v>
      </c>
      <c r="AB15" s="9" t="s">
        <v>241</v>
      </c>
      <c r="AC15" s="9" t="s">
        <v>256</v>
      </c>
      <c r="AD15" s="9" t="s">
        <v>240</v>
      </c>
      <c r="AE15" s="10" t="s">
        <v>274</v>
      </c>
      <c r="AF15" s="10" t="s">
        <v>240</v>
      </c>
      <c r="AG15" s="10" t="s">
        <v>240</v>
      </c>
      <c r="AH15" s="10" t="s">
        <v>240</v>
      </c>
      <c r="AI15" s="62" t="s">
        <v>240</v>
      </c>
      <c r="AJ15" s="62" t="s">
        <v>275</v>
      </c>
      <c r="AK15" s="63" t="s">
        <v>240</v>
      </c>
      <c r="AL15" s="11" t="s">
        <v>240</v>
      </c>
      <c r="AM15" s="11" t="s">
        <v>240</v>
      </c>
      <c r="AN15" s="11" t="s">
        <v>240</v>
      </c>
      <c r="AO15" s="11" t="s">
        <v>240</v>
      </c>
      <c r="AP15" s="11" t="s">
        <v>240</v>
      </c>
      <c r="AQ15" s="8" t="b">
        <v>0</v>
      </c>
      <c r="AR15" s="8" t="s">
        <v>240</v>
      </c>
      <c r="AS15" s="8" t="s">
        <v>240</v>
      </c>
      <c r="AT15" s="8" t="b">
        <v>1</v>
      </c>
      <c r="AU15" s="8" t="s">
        <v>240</v>
      </c>
      <c r="AV15" s="8" t="s">
        <v>240</v>
      </c>
    </row>
    <row r="16" spans="1:48" ht="21" x14ac:dyDescent="0.25">
      <c r="A16" s="8" t="s">
        <v>229</v>
      </c>
      <c r="B16" s="8" t="s">
        <v>269</v>
      </c>
      <c r="C16" s="8" t="s">
        <v>267</v>
      </c>
      <c r="D16" s="15">
        <v>42005</v>
      </c>
      <c r="E16" s="15">
        <v>109575</v>
      </c>
      <c r="F16" s="8"/>
      <c r="G16" s="8" t="s">
        <v>232</v>
      </c>
      <c r="H16" s="7" t="s">
        <v>251</v>
      </c>
      <c r="I16" s="7" t="s">
        <v>276</v>
      </c>
      <c r="J16" s="7">
        <v>1</v>
      </c>
      <c r="K16" s="7" t="s">
        <v>234</v>
      </c>
      <c r="L16" s="7" t="s">
        <v>235</v>
      </c>
      <c r="M16" s="7" t="s">
        <v>242</v>
      </c>
      <c r="N16" s="61" t="s">
        <v>277</v>
      </c>
      <c r="O16" s="9" t="s">
        <v>273</v>
      </c>
      <c r="P16" s="9" t="s">
        <v>238</v>
      </c>
      <c r="Q16" s="9" t="s">
        <v>255</v>
      </c>
      <c r="R16" s="9" t="s">
        <v>268</v>
      </c>
      <c r="S16" s="9" t="s">
        <v>239</v>
      </c>
      <c r="T16" s="9" t="s">
        <v>245</v>
      </c>
      <c r="U16" s="9" t="s">
        <v>246</v>
      </c>
      <c r="V16" s="9" t="s">
        <v>247</v>
      </c>
      <c r="W16" s="9" t="s">
        <v>248</v>
      </c>
      <c r="X16" s="9" t="s">
        <v>249</v>
      </c>
      <c r="Y16" s="9" t="s">
        <v>250</v>
      </c>
      <c r="Z16" s="9" t="s">
        <v>240</v>
      </c>
      <c r="AA16" s="9" t="s">
        <v>240</v>
      </c>
      <c r="AB16" s="9" t="s">
        <v>241</v>
      </c>
      <c r="AC16" s="9" t="s">
        <v>256</v>
      </c>
      <c r="AD16" s="9" t="s">
        <v>240</v>
      </c>
      <c r="AE16" s="10" t="s">
        <v>278</v>
      </c>
      <c r="AF16" s="10" t="s">
        <v>240</v>
      </c>
      <c r="AG16" s="10" t="s">
        <v>240</v>
      </c>
      <c r="AH16" s="10" t="s">
        <v>240</v>
      </c>
      <c r="AI16" s="62" t="s">
        <v>240</v>
      </c>
      <c r="AJ16" s="62" t="s">
        <v>279</v>
      </c>
      <c r="AK16" s="63" t="s">
        <v>240</v>
      </c>
      <c r="AL16" s="11" t="s">
        <v>240</v>
      </c>
      <c r="AM16" s="11" t="s">
        <v>240</v>
      </c>
      <c r="AN16" s="11" t="s">
        <v>240</v>
      </c>
      <c r="AO16" s="11" t="s">
        <v>240</v>
      </c>
      <c r="AP16" s="11" t="s">
        <v>240</v>
      </c>
      <c r="AQ16" s="8" t="b">
        <v>1</v>
      </c>
      <c r="AR16" s="8" t="s">
        <v>240</v>
      </c>
      <c r="AS16" s="8" t="s">
        <v>240</v>
      </c>
      <c r="AT16" s="8" t="s">
        <v>280</v>
      </c>
      <c r="AU16" s="8" t="s">
        <v>240</v>
      </c>
      <c r="AV16" s="8" t="s">
        <v>240</v>
      </c>
    </row>
    <row r="17" spans="1:48" ht="31.5" x14ac:dyDescent="0.25">
      <c r="A17" s="8" t="s">
        <v>229</v>
      </c>
      <c r="B17" s="8" t="s">
        <v>313</v>
      </c>
      <c r="C17" s="8" t="s">
        <v>314</v>
      </c>
      <c r="D17" s="15">
        <v>42005</v>
      </c>
      <c r="E17" s="15">
        <v>109575</v>
      </c>
      <c r="F17" s="8"/>
      <c r="G17" s="8" t="s">
        <v>232</v>
      </c>
      <c r="H17" s="7" t="s">
        <v>294</v>
      </c>
      <c r="I17" s="7" t="s">
        <v>315</v>
      </c>
      <c r="J17" s="7">
        <v>1</v>
      </c>
      <c r="K17" s="7" t="s">
        <v>234</v>
      </c>
      <c r="L17" s="7" t="s">
        <v>235</v>
      </c>
      <c r="M17" s="7" t="s">
        <v>242</v>
      </c>
      <c r="N17" s="61" t="s">
        <v>316</v>
      </c>
      <c r="O17" s="9" t="s">
        <v>317</v>
      </c>
      <c r="P17" s="9" t="s">
        <v>238</v>
      </c>
      <c r="Q17" s="9" t="s">
        <v>240</v>
      </c>
      <c r="R17" s="9" t="s">
        <v>309</v>
      </c>
      <c r="S17" s="9" t="s">
        <v>244</v>
      </c>
      <c r="T17" s="9" t="s">
        <v>310</v>
      </c>
      <c r="U17" s="9" t="s">
        <v>311</v>
      </c>
      <c r="V17" s="9" t="s">
        <v>312</v>
      </c>
      <c r="W17" s="9" t="s">
        <v>240</v>
      </c>
      <c r="X17" s="9" t="s">
        <v>240</v>
      </c>
      <c r="Y17" s="9" t="s">
        <v>240</v>
      </c>
      <c r="Z17" s="9" t="s">
        <v>240</v>
      </c>
      <c r="AA17" s="9" t="s">
        <v>240</v>
      </c>
      <c r="AB17" s="9" t="s">
        <v>240</v>
      </c>
      <c r="AC17" s="9" t="s">
        <v>240</v>
      </c>
      <c r="AD17" s="9" t="s">
        <v>240</v>
      </c>
      <c r="AE17" s="10" t="s">
        <v>240</v>
      </c>
      <c r="AF17" s="10" t="s">
        <v>240</v>
      </c>
      <c r="AG17" s="10" t="s">
        <v>240</v>
      </c>
      <c r="AH17" s="10" t="s">
        <v>240</v>
      </c>
      <c r="AI17" s="62" t="s">
        <v>240</v>
      </c>
      <c r="AJ17" s="62" t="s">
        <v>240</v>
      </c>
      <c r="AK17" s="63" t="s">
        <v>304</v>
      </c>
      <c r="AL17" s="11" t="s">
        <v>240</v>
      </c>
      <c r="AM17" s="11" t="s">
        <v>240</v>
      </c>
      <c r="AN17" s="11" t="s">
        <v>240</v>
      </c>
      <c r="AO17" s="11" t="s">
        <v>240</v>
      </c>
      <c r="AP17" s="11" t="s">
        <v>240</v>
      </c>
      <c r="AQ17" s="8" t="s">
        <v>231</v>
      </c>
      <c r="AR17" s="8" t="s">
        <v>240</v>
      </c>
      <c r="AS17" s="8" t="s">
        <v>240</v>
      </c>
      <c r="AT17" s="8" t="s">
        <v>240</v>
      </c>
      <c r="AU17" s="8" t="s">
        <v>240</v>
      </c>
      <c r="AV17" s="8" t="s">
        <v>240</v>
      </c>
    </row>
    <row r="18" spans="1:48" x14ac:dyDescent="0.25">
      <c r="A18" s="8" t="s">
        <v>229</v>
      </c>
      <c r="B18" s="8" t="s">
        <v>287</v>
      </c>
      <c r="C18" s="8" t="s">
        <v>288</v>
      </c>
      <c r="D18" s="15">
        <v>42005</v>
      </c>
      <c r="E18" s="15">
        <v>109575</v>
      </c>
      <c r="F18" s="8"/>
      <c r="G18" s="8" t="s">
        <v>232</v>
      </c>
      <c r="H18" s="7" t="s">
        <v>254</v>
      </c>
      <c r="I18" s="7" t="s">
        <v>289</v>
      </c>
      <c r="J18" s="7">
        <v>1</v>
      </c>
      <c r="K18" s="7" t="s">
        <v>234</v>
      </c>
      <c r="L18" s="7" t="s">
        <v>235</v>
      </c>
      <c r="M18" s="7" t="s">
        <v>236</v>
      </c>
      <c r="N18" s="61" t="s">
        <v>282</v>
      </c>
      <c r="O18" s="9" t="s">
        <v>237</v>
      </c>
      <c r="P18" s="9" t="s">
        <v>238</v>
      </c>
      <c r="Q18" s="9" t="s">
        <v>243</v>
      </c>
      <c r="R18" s="9" t="s">
        <v>290</v>
      </c>
      <c r="S18" s="9" t="s">
        <v>244</v>
      </c>
      <c r="T18" s="9" t="s">
        <v>245</v>
      </c>
      <c r="U18" s="9" t="s">
        <v>246</v>
      </c>
      <c r="V18" s="9" t="s">
        <v>247</v>
      </c>
      <c r="W18" s="9" t="s">
        <v>248</v>
      </c>
      <c r="X18" s="9" t="s">
        <v>249</v>
      </c>
      <c r="Y18" s="9" t="s">
        <v>250</v>
      </c>
      <c r="Z18" s="9" t="s">
        <v>240</v>
      </c>
      <c r="AA18" s="9" t="s">
        <v>240</v>
      </c>
      <c r="AB18" s="9" t="s">
        <v>240</v>
      </c>
      <c r="AC18" s="9" t="s">
        <v>240</v>
      </c>
      <c r="AD18" s="9" t="s">
        <v>240</v>
      </c>
      <c r="AE18" s="10" t="s">
        <v>282</v>
      </c>
      <c r="AF18" s="10" t="s">
        <v>240</v>
      </c>
      <c r="AG18" s="10" t="s">
        <v>240</v>
      </c>
      <c r="AH18" s="10" t="s">
        <v>283</v>
      </c>
      <c r="AI18" s="62" t="s">
        <v>240</v>
      </c>
      <c r="AJ18" s="62" t="s">
        <v>240</v>
      </c>
      <c r="AK18" s="63" t="s">
        <v>240</v>
      </c>
      <c r="AL18" s="11" t="s">
        <v>240</v>
      </c>
      <c r="AM18" s="11" t="s">
        <v>240</v>
      </c>
      <c r="AN18" s="11" t="s">
        <v>240</v>
      </c>
      <c r="AO18" s="11" t="s">
        <v>240</v>
      </c>
      <c r="AP18" s="11" t="s">
        <v>240</v>
      </c>
      <c r="AQ18" s="8" t="b">
        <v>1</v>
      </c>
      <c r="AR18" s="8" t="s">
        <v>240</v>
      </c>
      <c r="AS18" s="8" t="s">
        <v>230</v>
      </c>
      <c r="AT18" s="8" t="s">
        <v>240</v>
      </c>
      <c r="AU18" s="8" t="s">
        <v>240</v>
      </c>
      <c r="AV18" s="8" t="s">
        <v>240</v>
      </c>
    </row>
    <row r="19" spans="1:48" x14ac:dyDescent="0.25">
      <c r="A19" s="8" t="s">
        <v>229</v>
      </c>
      <c r="B19" s="8" t="s">
        <v>400</v>
      </c>
      <c r="C19" s="8" t="s">
        <v>401</v>
      </c>
      <c r="D19" s="15">
        <v>45658</v>
      </c>
      <c r="E19" s="15">
        <v>109575</v>
      </c>
      <c r="F19" s="8" t="s">
        <v>306</v>
      </c>
      <c r="G19" s="8" t="s">
        <v>232</v>
      </c>
      <c r="H19" s="7" t="s">
        <v>402</v>
      </c>
      <c r="I19" s="7" t="s">
        <v>402</v>
      </c>
      <c r="J19" s="7">
        <v>1</v>
      </c>
      <c r="K19" s="7" t="s">
        <v>234</v>
      </c>
      <c r="L19" s="7" t="s">
        <v>235</v>
      </c>
      <c r="M19" s="7" t="s">
        <v>242</v>
      </c>
      <c r="N19" s="61" t="s">
        <v>403</v>
      </c>
      <c r="O19" s="9" t="s">
        <v>240</v>
      </c>
      <c r="P19" s="9" t="s">
        <v>240</v>
      </c>
      <c r="Q19" s="9" t="s">
        <v>240</v>
      </c>
      <c r="R19" s="9" t="s">
        <v>240</v>
      </c>
      <c r="S19" s="9" t="s">
        <v>240</v>
      </c>
      <c r="T19" s="9" t="s">
        <v>240</v>
      </c>
      <c r="U19" s="9" t="s">
        <v>240</v>
      </c>
      <c r="V19" s="9" t="s">
        <v>240</v>
      </c>
      <c r="W19" s="9" t="s">
        <v>240</v>
      </c>
      <c r="X19" s="9" t="s">
        <v>240</v>
      </c>
      <c r="Y19" s="9" t="s">
        <v>240</v>
      </c>
      <c r="Z19" s="9" t="s">
        <v>240</v>
      </c>
      <c r="AA19" s="9" t="s">
        <v>240</v>
      </c>
      <c r="AB19" s="9" t="s">
        <v>240</v>
      </c>
      <c r="AC19" s="9" t="s">
        <v>240</v>
      </c>
      <c r="AD19" s="9" t="s">
        <v>240</v>
      </c>
      <c r="AE19" s="10" t="s">
        <v>240</v>
      </c>
      <c r="AF19" s="10" t="s">
        <v>240</v>
      </c>
      <c r="AG19" s="10" t="s">
        <v>240</v>
      </c>
      <c r="AH19" s="10" t="s">
        <v>240</v>
      </c>
      <c r="AI19" s="62" t="s">
        <v>240</v>
      </c>
      <c r="AJ19" s="62" t="s">
        <v>240</v>
      </c>
      <c r="AK19" s="63" t="s">
        <v>240</v>
      </c>
      <c r="AL19" s="11" t="s">
        <v>240</v>
      </c>
      <c r="AM19" s="11" t="s">
        <v>240</v>
      </c>
      <c r="AN19" s="11" t="s">
        <v>240</v>
      </c>
      <c r="AO19" s="11" t="s">
        <v>240</v>
      </c>
      <c r="AP19" s="11" t="s">
        <v>240</v>
      </c>
      <c r="AQ19" s="8" t="s">
        <v>240</v>
      </c>
      <c r="AR19" s="8" t="s">
        <v>240</v>
      </c>
      <c r="AS19" s="8" t="s">
        <v>240</v>
      </c>
      <c r="AT19" s="8" t="s">
        <v>240</v>
      </c>
      <c r="AU19" s="8" t="s">
        <v>240</v>
      </c>
      <c r="AV19" s="8" t="s">
        <v>240</v>
      </c>
    </row>
    <row r="20" spans="1:48" x14ac:dyDescent="0.25">
      <c r="A20" s="8" t="s">
        <v>229</v>
      </c>
      <c r="B20" s="8" t="s">
        <v>404</v>
      </c>
      <c r="C20" s="8" t="s">
        <v>405</v>
      </c>
      <c r="D20" s="15">
        <v>45658</v>
      </c>
      <c r="E20" s="15">
        <v>109575</v>
      </c>
      <c r="F20" s="8" t="s">
        <v>335</v>
      </c>
      <c r="G20" s="8" t="s">
        <v>232</v>
      </c>
      <c r="H20" s="7" t="s">
        <v>406</v>
      </c>
      <c r="I20" s="7" t="s">
        <v>406</v>
      </c>
      <c r="J20" s="7">
        <v>1</v>
      </c>
      <c r="K20" s="7" t="s">
        <v>234</v>
      </c>
      <c r="L20" s="7" t="s">
        <v>235</v>
      </c>
      <c r="M20" s="7" t="s">
        <v>236</v>
      </c>
      <c r="N20" s="61" t="s">
        <v>407</v>
      </c>
      <c r="O20" s="9" t="s">
        <v>240</v>
      </c>
      <c r="P20" s="9" t="s">
        <v>240</v>
      </c>
      <c r="Q20" s="9" t="s">
        <v>240</v>
      </c>
      <c r="R20" s="9" t="s">
        <v>240</v>
      </c>
      <c r="S20" s="9" t="s">
        <v>240</v>
      </c>
      <c r="T20" s="9" t="s">
        <v>240</v>
      </c>
      <c r="U20" s="9" t="s">
        <v>240</v>
      </c>
      <c r="V20" s="9" t="s">
        <v>240</v>
      </c>
      <c r="W20" s="9" t="s">
        <v>240</v>
      </c>
      <c r="X20" s="9" t="s">
        <v>240</v>
      </c>
      <c r="Y20" s="9" t="s">
        <v>240</v>
      </c>
      <c r="Z20" s="9" t="s">
        <v>240</v>
      </c>
      <c r="AA20" s="9" t="s">
        <v>240</v>
      </c>
      <c r="AB20" s="9" t="s">
        <v>240</v>
      </c>
      <c r="AC20" s="9" t="s">
        <v>240</v>
      </c>
      <c r="AD20" s="9" t="s">
        <v>240</v>
      </c>
      <c r="AE20" s="10" t="s">
        <v>240</v>
      </c>
      <c r="AF20" s="10" t="s">
        <v>240</v>
      </c>
      <c r="AG20" s="10" t="s">
        <v>240</v>
      </c>
      <c r="AH20" s="10" t="s">
        <v>240</v>
      </c>
      <c r="AI20" s="62" t="s">
        <v>240</v>
      </c>
      <c r="AJ20" s="62" t="s">
        <v>240</v>
      </c>
      <c r="AK20" s="63" t="s">
        <v>240</v>
      </c>
      <c r="AL20" s="11" t="s">
        <v>240</v>
      </c>
      <c r="AM20" s="11" t="s">
        <v>240</v>
      </c>
      <c r="AN20" s="11" t="s">
        <v>240</v>
      </c>
      <c r="AO20" s="11" t="s">
        <v>240</v>
      </c>
      <c r="AP20" s="11" t="s">
        <v>240</v>
      </c>
      <c r="AQ20" s="8" t="s">
        <v>240</v>
      </c>
      <c r="AR20" s="8" t="s">
        <v>240</v>
      </c>
      <c r="AS20" s="8" t="s">
        <v>240</v>
      </c>
      <c r="AT20" s="8" t="s">
        <v>240</v>
      </c>
      <c r="AU20" s="8" t="s">
        <v>240</v>
      </c>
      <c r="AV20" s="8" t="s">
        <v>240</v>
      </c>
    </row>
    <row r="21" spans="1:48" x14ac:dyDescent="0.25">
      <c r="A21" s="8" t="s">
        <v>229</v>
      </c>
      <c r="B21" s="8" t="s">
        <v>408</v>
      </c>
      <c r="C21" s="8" t="s">
        <v>409</v>
      </c>
      <c r="D21" s="15">
        <v>45658</v>
      </c>
      <c r="E21" s="15">
        <v>109575</v>
      </c>
      <c r="F21" s="8" t="s">
        <v>410</v>
      </c>
      <c r="G21" s="8" t="s">
        <v>232</v>
      </c>
      <c r="H21" s="7" t="s">
        <v>403</v>
      </c>
      <c r="I21" s="7" t="s">
        <v>403</v>
      </c>
      <c r="J21" s="7">
        <v>1</v>
      </c>
      <c r="K21" s="7" t="s">
        <v>234</v>
      </c>
      <c r="L21" s="7" t="s">
        <v>235</v>
      </c>
      <c r="M21" s="7" t="s">
        <v>242</v>
      </c>
      <c r="N21" s="61" t="s">
        <v>263</v>
      </c>
      <c r="O21" s="9" t="s">
        <v>291</v>
      </c>
      <c r="P21" s="9" t="s">
        <v>238</v>
      </c>
      <c r="Q21" s="9" t="s">
        <v>243</v>
      </c>
      <c r="R21" s="9" t="s">
        <v>292</v>
      </c>
      <c r="S21" s="9" t="s">
        <v>244</v>
      </c>
      <c r="T21" s="9" t="s">
        <v>245</v>
      </c>
      <c r="U21" s="9" t="s">
        <v>246</v>
      </c>
      <c r="V21" s="9" t="s">
        <v>247</v>
      </c>
      <c r="W21" s="9" t="s">
        <v>248</v>
      </c>
      <c r="X21" s="9" t="s">
        <v>249</v>
      </c>
      <c r="Y21" s="9" t="s">
        <v>250</v>
      </c>
      <c r="Z21" s="9" t="s">
        <v>240</v>
      </c>
      <c r="AA21" s="9" t="s">
        <v>240</v>
      </c>
      <c r="AB21" s="9" t="s">
        <v>240</v>
      </c>
      <c r="AC21" s="9" t="s">
        <v>240</v>
      </c>
      <c r="AD21" s="9" t="s">
        <v>259</v>
      </c>
      <c r="AE21" s="10" t="s">
        <v>263</v>
      </c>
      <c r="AF21" s="10" t="s">
        <v>293</v>
      </c>
      <c r="AG21" s="10" t="s">
        <v>254</v>
      </c>
      <c r="AH21" s="10" t="s">
        <v>251</v>
      </c>
      <c r="AI21" s="62" t="s">
        <v>294</v>
      </c>
      <c r="AJ21" s="62" t="s">
        <v>240</v>
      </c>
      <c r="AK21" s="63" t="s">
        <v>240</v>
      </c>
      <c r="AL21" s="11" t="s">
        <v>240</v>
      </c>
      <c r="AM21" s="11" t="s">
        <v>240</v>
      </c>
      <c r="AN21" s="11" t="s">
        <v>240</v>
      </c>
      <c r="AO21" s="11" t="s">
        <v>240</v>
      </c>
      <c r="AP21" s="11" t="s">
        <v>240</v>
      </c>
      <c r="AQ21" s="8" t="b">
        <v>1</v>
      </c>
      <c r="AR21" s="8" t="s">
        <v>240</v>
      </c>
      <c r="AS21" s="8" t="s">
        <v>240</v>
      </c>
      <c r="AT21" s="8" t="s">
        <v>262</v>
      </c>
      <c r="AU21" s="8" t="s">
        <v>240</v>
      </c>
      <c r="AV21" s="8" t="s">
        <v>240</v>
      </c>
    </row>
    <row r="22" spans="1:48" ht="94.5" x14ac:dyDescent="0.25">
      <c r="A22" s="8" t="s">
        <v>229</v>
      </c>
      <c r="B22" s="8" t="s">
        <v>411</v>
      </c>
      <c r="C22" s="8" t="s">
        <v>412</v>
      </c>
      <c r="D22" s="15">
        <v>45658</v>
      </c>
      <c r="E22" s="15">
        <v>109575</v>
      </c>
      <c r="F22" s="8" t="s">
        <v>413</v>
      </c>
      <c r="G22" s="8" t="s">
        <v>232</v>
      </c>
      <c r="H22" s="7" t="s">
        <v>407</v>
      </c>
      <c r="I22" s="7" t="s">
        <v>407</v>
      </c>
      <c r="J22" s="7">
        <v>1</v>
      </c>
      <c r="K22" s="7" t="s">
        <v>234</v>
      </c>
      <c r="L22" s="7" t="s">
        <v>235</v>
      </c>
      <c r="M22" s="7" t="s">
        <v>236</v>
      </c>
      <c r="N22" s="61" t="s">
        <v>305</v>
      </c>
      <c r="O22" s="9" t="s">
        <v>297</v>
      </c>
      <c r="P22" s="9" t="s">
        <v>238</v>
      </c>
      <c r="Q22" s="9" t="s">
        <v>243</v>
      </c>
      <c r="R22" s="9" t="s">
        <v>240</v>
      </c>
      <c r="S22" s="9" t="s">
        <v>244</v>
      </c>
      <c r="T22" s="9" t="s">
        <v>245</v>
      </c>
      <c r="U22" s="9" t="s">
        <v>246</v>
      </c>
      <c r="V22" s="9" t="s">
        <v>247</v>
      </c>
      <c r="W22" s="9" t="s">
        <v>248</v>
      </c>
      <c r="X22" s="9" t="s">
        <v>249</v>
      </c>
      <c r="Y22" s="9" t="s">
        <v>250</v>
      </c>
      <c r="Z22" s="9" t="s">
        <v>281</v>
      </c>
      <c r="AA22" s="9" t="s">
        <v>240</v>
      </c>
      <c r="AB22" s="9" t="s">
        <v>240</v>
      </c>
      <c r="AC22" s="9" t="s">
        <v>240</v>
      </c>
      <c r="AD22" s="9" t="s">
        <v>240</v>
      </c>
      <c r="AE22" s="10" t="s">
        <v>265</v>
      </c>
      <c r="AF22" s="10" t="s">
        <v>240</v>
      </c>
      <c r="AG22" s="10" t="s">
        <v>240</v>
      </c>
      <c r="AH22" s="10" t="s">
        <v>283</v>
      </c>
      <c r="AI22" s="62" t="s">
        <v>240</v>
      </c>
      <c r="AJ22" s="62" t="s">
        <v>284</v>
      </c>
      <c r="AK22" s="63" t="s">
        <v>240</v>
      </c>
      <c r="AL22" s="11" t="s">
        <v>240</v>
      </c>
      <c r="AM22" s="11" t="s">
        <v>240</v>
      </c>
      <c r="AN22" s="11" t="s">
        <v>240</v>
      </c>
      <c r="AO22" s="11" t="s">
        <v>240</v>
      </c>
      <c r="AP22" s="11" t="s">
        <v>240</v>
      </c>
      <c r="AQ22" s="8" t="b">
        <v>1</v>
      </c>
      <c r="AR22" s="8" t="s">
        <v>240</v>
      </c>
      <c r="AS22" s="8" t="s">
        <v>240</v>
      </c>
      <c r="AT22" s="8" t="s">
        <v>240</v>
      </c>
      <c r="AU22" s="8" t="s">
        <v>240</v>
      </c>
      <c r="AV22" s="8" t="s">
        <v>240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17DC-4185-46A5-BE25-1253E3A529F2}">
  <sheetPr codeName="INCENTIVES"/>
  <dimension ref="A1:AZ2"/>
  <sheetViews>
    <sheetView tabSelected="1" zoomScale="115" zoomScaleNormal="115" workbookViewId="0">
      <selection activeCell="B8" sqref="B8"/>
    </sheetView>
  </sheetViews>
  <sheetFormatPr defaultColWidth="8.7265625" defaultRowHeight="10.5" x14ac:dyDescent="0.25"/>
  <cols>
    <col min="1" max="1" width="11.54296875" style="1" bestFit="1" customWidth="1"/>
    <col min="2" max="2" width="46.08984375" style="1" bestFit="1" customWidth="1"/>
    <col min="3" max="3" width="156.453125" style="1" customWidth="1"/>
    <col min="4" max="4" width="9.26953125" style="2" customWidth="1"/>
    <col min="5" max="5" width="8.54296875" style="2" customWidth="1"/>
    <col min="6" max="6" width="75" style="1" customWidth="1"/>
    <col min="7" max="7" width="12.7265625" style="1" customWidth="1"/>
    <col min="8" max="9" width="45.36328125" style="1" customWidth="1"/>
    <col min="10" max="10" width="9.81640625" style="1" customWidth="1"/>
    <col min="11" max="11" width="10.36328125" style="1" customWidth="1"/>
    <col min="12" max="12" width="6" style="1" customWidth="1"/>
    <col min="13" max="13" width="8.90625" style="1" customWidth="1"/>
    <col min="14" max="14" width="255.6328125" style="1" customWidth="1"/>
    <col min="15" max="15" width="5.7265625" style="1" customWidth="1"/>
    <col min="16" max="16" width="13.90625" style="1" customWidth="1"/>
    <col min="17" max="17" width="20" style="1" customWidth="1"/>
    <col min="18" max="18" width="18.453125" style="1" customWidth="1"/>
    <col min="19" max="20" width="5.453125" style="1" customWidth="1"/>
    <col min="21" max="21" width="44.453125" style="1" customWidth="1"/>
    <col min="22" max="22" width="34.453125" style="1" customWidth="1"/>
    <col min="23" max="23" width="5.453125" style="1" customWidth="1"/>
    <col min="24" max="24" width="36.6328125" style="1" customWidth="1"/>
    <col min="25" max="25" width="36.26953125" style="1" customWidth="1"/>
    <col min="26" max="26" width="36.6328125" style="1" customWidth="1"/>
    <col min="27" max="27" width="36.6328125" style="1" bestFit="1" customWidth="1"/>
    <col min="28" max="28" width="38.26953125" style="1" bestFit="1" customWidth="1"/>
    <col min="29" max="33" width="6.1796875" style="1" bestFit="1" customWidth="1"/>
    <col min="34" max="34" width="33.453125" style="1" bestFit="1" customWidth="1"/>
    <col min="35" max="35" width="137.08984375" style="1" bestFit="1" customWidth="1"/>
    <col min="36" max="36" width="255.6328125" style="1" bestFit="1" customWidth="1"/>
    <col min="37" max="37" width="46.36328125" style="1" bestFit="1" customWidth="1"/>
    <col min="38" max="38" width="187.81640625" style="1" bestFit="1" customWidth="1"/>
    <col min="39" max="39" width="41.54296875" style="1" bestFit="1" customWidth="1"/>
    <col min="40" max="40" width="31" style="1" bestFit="1" customWidth="1"/>
    <col min="41" max="41" width="42.7265625" style="1" bestFit="1" customWidth="1"/>
    <col min="42" max="46" width="5.453125" style="1" bestFit="1" customWidth="1"/>
    <col min="47" max="47" width="30.36328125" style="1" bestFit="1" customWidth="1"/>
    <col min="48" max="48" width="29" style="1" bestFit="1" customWidth="1"/>
    <col min="49" max="52" width="5.36328125" style="1" bestFit="1" customWidth="1"/>
    <col min="53" max="16384" width="8.7265625" style="1"/>
  </cols>
  <sheetData>
    <row r="1" spans="1:52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3" t="s">
        <v>61</v>
      </c>
      <c r="G1" s="3" t="s">
        <v>9</v>
      </c>
      <c r="H1" s="5" t="s">
        <v>14</v>
      </c>
      <c r="I1" s="5" t="s">
        <v>15</v>
      </c>
      <c r="J1" s="5" t="s">
        <v>16</v>
      </c>
      <c r="K1" s="5" t="s">
        <v>17</v>
      </c>
      <c r="L1" s="5" t="s">
        <v>5</v>
      </c>
      <c r="M1" s="5" t="s">
        <v>18</v>
      </c>
      <c r="N1" s="5" t="s">
        <v>19</v>
      </c>
      <c r="O1" s="5" t="s">
        <v>63</v>
      </c>
      <c r="P1" s="5" t="s">
        <v>64</v>
      </c>
      <c r="Q1" s="5" t="s">
        <v>65</v>
      </c>
      <c r="R1" s="5" t="s">
        <v>66</v>
      </c>
      <c r="S1" s="5" t="s">
        <v>27</v>
      </c>
      <c r="T1" s="5" t="s">
        <v>28</v>
      </c>
      <c r="U1" s="5" t="s">
        <v>29</v>
      </c>
      <c r="V1" s="5" t="s">
        <v>30</v>
      </c>
      <c r="W1" s="5" t="s">
        <v>31</v>
      </c>
      <c r="X1" s="5" t="s">
        <v>32</v>
      </c>
      <c r="Y1" s="5" t="s">
        <v>33</v>
      </c>
      <c r="Z1" s="5" t="s">
        <v>34</v>
      </c>
      <c r="AA1" s="5" t="s">
        <v>35</v>
      </c>
      <c r="AB1" s="5" t="s">
        <v>36</v>
      </c>
      <c r="AC1" s="5" t="s">
        <v>37</v>
      </c>
      <c r="AD1" s="5" t="s">
        <v>38</v>
      </c>
      <c r="AE1" s="5" t="s">
        <v>39</v>
      </c>
      <c r="AF1" s="5" t="s">
        <v>40</v>
      </c>
      <c r="AG1" s="5" t="s">
        <v>41</v>
      </c>
      <c r="AH1" s="5" t="s">
        <v>42</v>
      </c>
      <c r="AI1" s="5" t="s">
        <v>43</v>
      </c>
      <c r="AJ1" s="5" t="s">
        <v>44</v>
      </c>
      <c r="AK1" s="5" t="s">
        <v>45</v>
      </c>
      <c r="AL1" s="5" t="s">
        <v>46</v>
      </c>
      <c r="AM1" s="5" t="s">
        <v>47</v>
      </c>
      <c r="AN1" s="5" t="s">
        <v>48</v>
      </c>
      <c r="AO1" s="5" t="s">
        <v>49</v>
      </c>
      <c r="AP1" s="5" t="s">
        <v>50</v>
      </c>
      <c r="AQ1" s="5" t="s">
        <v>51</v>
      </c>
      <c r="AR1" s="5" t="s">
        <v>52</v>
      </c>
      <c r="AS1" s="5" t="s">
        <v>53</v>
      </c>
      <c r="AT1" s="5" t="s">
        <v>54</v>
      </c>
      <c r="AU1" s="5" t="s">
        <v>55</v>
      </c>
      <c r="AV1" s="5" t="s">
        <v>56</v>
      </c>
      <c r="AW1" s="5" t="s">
        <v>57</v>
      </c>
      <c r="AX1" s="5" t="s">
        <v>58</v>
      </c>
      <c r="AY1" s="5" t="s">
        <v>59</v>
      </c>
      <c r="AZ1" s="5" t="s">
        <v>60</v>
      </c>
    </row>
    <row r="2" spans="1:52" x14ac:dyDescent="0.25">
      <c r="A2" s="8" t="s">
        <v>229</v>
      </c>
      <c r="B2" s="8" t="s">
        <v>341</v>
      </c>
      <c r="C2" s="8" t="s">
        <v>342</v>
      </c>
      <c r="D2" s="15">
        <v>45658</v>
      </c>
      <c r="E2" s="15">
        <v>109575</v>
      </c>
      <c r="F2" s="8" t="s">
        <v>343</v>
      </c>
      <c r="G2" s="8" t="s">
        <v>339</v>
      </c>
      <c r="H2" s="7" t="s">
        <v>344</v>
      </c>
      <c r="I2" s="7" t="s">
        <v>344</v>
      </c>
      <c r="J2" s="7">
        <v>1</v>
      </c>
      <c r="K2" s="7" t="s">
        <v>234</v>
      </c>
      <c r="L2" s="7" t="s">
        <v>340</v>
      </c>
      <c r="M2" s="7" t="s">
        <v>236</v>
      </c>
      <c r="N2" s="7" t="s">
        <v>345</v>
      </c>
      <c r="O2" s="7" t="s">
        <v>240</v>
      </c>
      <c r="P2" s="7" t="s">
        <v>17</v>
      </c>
      <c r="Q2" s="7">
        <v>0</v>
      </c>
      <c r="R2" s="7" t="s">
        <v>234</v>
      </c>
      <c r="S2" s="9" t="s">
        <v>240</v>
      </c>
      <c r="T2" s="9" t="s">
        <v>240</v>
      </c>
      <c r="U2" s="9" t="s">
        <v>238</v>
      </c>
      <c r="V2" s="9" t="s">
        <v>240</v>
      </c>
      <c r="W2" s="9" t="s">
        <v>240</v>
      </c>
      <c r="X2" s="9" t="s">
        <v>240</v>
      </c>
      <c r="Y2" s="9" t="s">
        <v>240</v>
      </c>
      <c r="Z2" s="9" t="s">
        <v>240</v>
      </c>
      <c r="AA2" s="9" t="s">
        <v>240</v>
      </c>
      <c r="AB2" s="9" t="s">
        <v>240</v>
      </c>
      <c r="AC2" s="9" t="s">
        <v>240</v>
      </c>
      <c r="AD2" s="9" t="s">
        <v>240</v>
      </c>
      <c r="AE2" s="9" t="s">
        <v>240</v>
      </c>
      <c r="AF2" s="9" t="s">
        <v>240</v>
      </c>
      <c r="AG2" s="9" t="s">
        <v>240</v>
      </c>
      <c r="AH2" s="9" t="s">
        <v>240</v>
      </c>
      <c r="AI2" s="10" t="s">
        <v>240</v>
      </c>
      <c r="AJ2" s="10" t="s">
        <v>240</v>
      </c>
      <c r="AK2" s="10" t="s">
        <v>240</v>
      </c>
      <c r="AL2" s="10" t="s">
        <v>240</v>
      </c>
      <c r="AM2" s="10" t="s">
        <v>240</v>
      </c>
      <c r="AN2" s="10" t="s">
        <v>240</v>
      </c>
      <c r="AO2" s="11" t="s">
        <v>240</v>
      </c>
      <c r="AP2" s="11" t="s">
        <v>240</v>
      </c>
      <c r="AQ2" s="11" t="s">
        <v>240</v>
      </c>
      <c r="AR2" s="11" t="s">
        <v>240</v>
      </c>
      <c r="AS2" s="11" t="s">
        <v>240</v>
      </c>
      <c r="AT2" s="11" t="s">
        <v>240</v>
      </c>
      <c r="AU2" s="8" t="s">
        <v>240</v>
      </c>
      <c r="AV2" s="8" t="s">
        <v>240</v>
      </c>
      <c r="AW2" s="8" t="s">
        <v>343</v>
      </c>
      <c r="AX2" s="8" t="s">
        <v>240</v>
      </c>
      <c r="AY2" s="8" t="s">
        <v>240</v>
      </c>
      <c r="AZ2" s="8" t="s">
        <v>240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7062-8890-4925-82BE-19BB5C15129A}">
  <sheetPr codeName="DEPOSITS"/>
  <dimension ref="A1:AZ2"/>
  <sheetViews>
    <sheetView topLeftCell="P1" workbookViewId="0">
      <selection activeCell="N10" sqref="N10"/>
    </sheetView>
  </sheetViews>
  <sheetFormatPr defaultColWidth="8.7265625" defaultRowHeight="10.5" x14ac:dyDescent="0.25"/>
  <cols>
    <col min="1" max="1" width="8.54296875" style="1" bestFit="1" customWidth="1"/>
    <col min="2" max="2" width="36.90625" style="1" bestFit="1" customWidth="1"/>
    <col min="3" max="3" width="64.453125" style="1" bestFit="1" customWidth="1"/>
    <col min="4" max="4" width="9.26953125" style="2" bestFit="1" customWidth="1"/>
    <col min="5" max="5" width="8.54296875" style="2" bestFit="1" customWidth="1"/>
    <col min="6" max="6" width="62.26953125" style="1" bestFit="1" customWidth="1"/>
    <col min="7" max="7" width="9" style="1" bestFit="1" customWidth="1"/>
    <col min="8" max="8" width="36.08984375" style="1" bestFit="1" customWidth="1"/>
    <col min="9" max="9" width="31.54296875" style="1" bestFit="1" customWidth="1"/>
    <col min="10" max="10" width="9.81640625" style="1" bestFit="1" customWidth="1"/>
    <col min="11" max="11" width="10.36328125" style="1" bestFit="1" customWidth="1"/>
    <col min="12" max="12" width="5.90625" style="1" bestFit="1" customWidth="1"/>
    <col min="13" max="13" width="8.90625" style="1" bestFit="1" customWidth="1"/>
    <col min="14" max="14" width="107.6328125" style="1" bestFit="1" customWidth="1"/>
    <col min="15" max="15" width="13.08984375" style="1" bestFit="1" customWidth="1"/>
    <col min="16" max="16" width="30.08984375" style="1" bestFit="1" customWidth="1"/>
    <col min="17" max="17" width="11.90625" style="1" bestFit="1" customWidth="1"/>
    <col min="18" max="18" width="19.1796875" style="1" bestFit="1" customWidth="1"/>
    <col min="19" max="20" width="52.90625" style="1" bestFit="1" customWidth="1"/>
    <col min="21" max="21" width="49.81640625" style="1" bestFit="1" customWidth="1"/>
    <col min="22" max="22" width="57.54296875" style="1" bestFit="1" customWidth="1"/>
    <col min="23" max="23" width="15.26953125" style="1" bestFit="1" customWidth="1"/>
    <col min="24" max="24" width="11.36328125" style="1" bestFit="1" customWidth="1"/>
    <col min="25" max="25" width="18" style="1" bestFit="1" customWidth="1"/>
    <col min="26" max="26" width="8" style="1" bestFit="1" customWidth="1"/>
    <col min="27" max="27" width="5.453125" style="1" bestFit="1" customWidth="1"/>
    <col min="28" max="34" width="6.1796875" style="1" bestFit="1" customWidth="1"/>
    <col min="35" max="35" width="122.90625" style="1" bestFit="1" customWidth="1"/>
    <col min="36" max="40" width="5.54296875" style="1" bestFit="1" customWidth="1"/>
    <col min="41" max="41" width="15" style="1" bestFit="1" customWidth="1"/>
    <col min="42" max="42" width="14.453125" style="1" bestFit="1" customWidth="1"/>
    <col min="43" max="46" width="5.453125" style="1" bestFit="1" customWidth="1"/>
    <col min="47" max="52" width="5.36328125" style="1" bestFit="1" customWidth="1"/>
    <col min="53" max="16384" width="8.7265625" style="1"/>
  </cols>
  <sheetData>
    <row r="1" spans="1:52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3" t="s">
        <v>61</v>
      </c>
      <c r="G1" s="3" t="s">
        <v>9</v>
      </c>
      <c r="H1" s="5" t="s">
        <v>14</v>
      </c>
      <c r="I1" s="5" t="s">
        <v>15</v>
      </c>
      <c r="J1" s="5" t="s">
        <v>16</v>
      </c>
      <c r="K1" s="5" t="s">
        <v>17</v>
      </c>
      <c r="L1" s="5" t="s">
        <v>5</v>
      </c>
      <c r="M1" s="5" t="s">
        <v>18</v>
      </c>
      <c r="N1" s="5" t="s">
        <v>19</v>
      </c>
      <c r="O1" s="5" t="s">
        <v>20</v>
      </c>
      <c r="P1" s="5" t="s">
        <v>67</v>
      </c>
      <c r="Q1" s="5" t="s">
        <v>88</v>
      </c>
      <c r="R1" s="5" t="s">
        <v>89</v>
      </c>
      <c r="S1" s="5" t="s">
        <v>27</v>
      </c>
      <c r="T1" s="5" t="s">
        <v>28</v>
      </c>
      <c r="U1" s="5" t="s">
        <v>29</v>
      </c>
      <c r="V1" s="5" t="s">
        <v>30</v>
      </c>
      <c r="W1" s="5" t="s">
        <v>31</v>
      </c>
      <c r="X1" s="5" t="s">
        <v>32</v>
      </c>
      <c r="Y1" s="5" t="s">
        <v>33</v>
      </c>
      <c r="Z1" s="5" t="s">
        <v>34</v>
      </c>
      <c r="AA1" s="5" t="s">
        <v>35</v>
      </c>
      <c r="AB1" s="5" t="s">
        <v>36</v>
      </c>
      <c r="AC1" s="5" t="s">
        <v>37</v>
      </c>
      <c r="AD1" s="5" t="s">
        <v>38</v>
      </c>
      <c r="AE1" s="5" t="s">
        <v>39</v>
      </c>
      <c r="AF1" s="5" t="s">
        <v>40</v>
      </c>
      <c r="AG1" s="5" t="s">
        <v>41</v>
      </c>
      <c r="AH1" s="5" t="s">
        <v>42</v>
      </c>
      <c r="AI1" s="5" t="s">
        <v>43</v>
      </c>
      <c r="AJ1" s="5" t="s">
        <v>44</v>
      </c>
      <c r="AK1" s="5" t="s">
        <v>45</v>
      </c>
      <c r="AL1" s="5" t="s">
        <v>46</v>
      </c>
      <c r="AM1" s="5" t="s">
        <v>47</v>
      </c>
      <c r="AN1" s="5" t="s">
        <v>48</v>
      </c>
      <c r="AO1" s="5" t="s">
        <v>49</v>
      </c>
      <c r="AP1" s="5" t="s">
        <v>50</v>
      </c>
      <c r="AQ1" s="5" t="s">
        <v>51</v>
      </c>
      <c r="AR1" s="5" t="s">
        <v>52</v>
      </c>
      <c r="AS1" s="5" t="s">
        <v>53</v>
      </c>
      <c r="AT1" s="5" t="s">
        <v>54</v>
      </c>
      <c r="AU1" s="5" t="s">
        <v>55</v>
      </c>
      <c r="AV1" s="5" t="s">
        <v>56</v>
      </c>
      <c r="AW1" s="5" t="s">
        <v>57</v>
      </c>
      <c r="AX1" s="5" t="s">
        <v>58</v>
      </c>
      <c r="AY1" s="5" t="s">
        <v>59</v>
      </c>
      <c r="AZ1" s="5" t="s">
        <v>60</v>
      </c>
    </row>
    <row r="2" spans="1:52" x14ac:dyDescent="0.25">
      <c r="A2" s="8" t="s">
        <v>229</v>
      </c>
      <c r="B2" s="8" t="s">
        <v>346</v>
      </c>
      <c r="C2" s="8" t="s">
        <v>347</v>
      </c>
      <c r="D2" s="15">
        <v>45658</v>
      </c>
      <c r="E2" s="15">
        <v>109575</v>
      </c>
      <c r="F2" s="8"/>
      <c r="G2" s="8" t="s">
        <v>348</v>
      </c>
      <c r="H2" s="7" t="s">
        <v>349</v>
      </c>
      <c r="I2" s="7" t="s">
        <v>349</v>
      </c>
      <c r="J2" s="7">
        <v>1</v>
      </c>
      <c r="K2" s="7" t="s">
        <v>234</v>
      </c>
      <c r="L2" s="7" t="s">
        <v>350</v>
      </c>
      <c r="M2" s="7" t="s">
        <v>351</v>
      </c>
      <c r="N2" s="7" t="s">
        <v>344</v>
      </c>
      <c r="O2" s="7" t="s">
        <v>352</v>
      </c>
      <c r="P2" s="7"/>
      <c r="Q2" s="7" t="s">
        <v>353</v>
      </c>
      <c r="R2" s="7" t="s">
        <v>353</v>
      </c>
      <c r="S2" s="9" t="s">
        <v>240</v>
      </c>
      <c r="T2" s="9" t="s">
        <v>240</v>
      </c>
      <c r="U2" s="9" t="s">
        <v>240</v>
      </c>
      <c r="V2" s="9" t="s">
        <v>240</v>
      </c>
      <c r="W2" s="9" t="s">
        <v>240</v>
      </c>
      <c r="X2" s="9" t="s">
        <v>240</v>
      </c>
      <c r="Y2" s="9" t="s">
        <v>240</v>
      </c>
      <c r="Z2" s="9" t="s">
        <v>240</v>
      </c>
      <c r="AA2" s="9" t="s">
        <v>240</v>
      </c>
      <c r="AB2" s="9" t="s">
        <v>240</v>
      </c>
      <c r="AC2" s="9" t="s">
        <v>240</v>
      </c>
      <c r="AD2" s="9" t="s">
        <v>240</v>
      </c>
      <c r="AE2" s="9" t="s">
        <v>240</v>
      </c>
      <c r="AF2" s="9" t="s">
        <v>240</v>
      </c>
      <c r="AG2" s="9" t="s">
        <v>240</v>
      </c>
      <c r="AH2" s="9" t="s">
        <v>240</v>
      </c>
      <c r="AI2" s="10" t="s">
        <v>240</v>
      </c>
      <c r="AJ2" s="10" t="s">
        <v>240</v>
      </c>
      <c r="AK2" s="10" t="s">
        <v>240</v>
      </c>
      <c r="AL2" s="10" t="s">
        <v>240</v>
      </c>
      <c r="AM2" s="10" t="s">
        <v>240</v>
      </c>
      <c r="AN2" s="10" t="s">
        <v>240</v>
      </c>
      <c r="AO2" s="11" t="s">
        <v>240</v>
      </c>
      <c r="AP2" s="11" t="s">
        <v>240</v>
      </c>
      <c r="AQ2" s="11" t="s">
        <v>240</v>
      </c>
      <c r="AR2" s="11" t="s">
        <v>240</v>
      </c>
      <c r="AS2" s="11" t="s">
        <v>240</v>
      </c>
      <c r="AT2" s="11" t="s">
        <v>240</v>
      </c>
      <c r="AU2" s="8" t="s">
        <v>240</v>
      </c>
      <c r="AV2" s="8" t="s">
        <v>240</v>
      </c>
      <c r="AW2" s="8" t="s">
        <v>240</v>
      </c>
      <c r="AX2" s="8" t="s">
        <v>240</v>
      </c>
      <c r="AY2" s="8" t="s">
        <v>240</v>
      </c>
      <c r="AZ2" s="8" t="s">
        <v>240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933D-7E23-4344-AC65-4D3704F751A4}">
  <sheetPr codeName="LOOKUP_TABLES"/>
  <dimension ref="A1:O81"/>
  <sheetViews>
    <sheetView zoomScaleNormal="100" workbookViewId="0">
      <selection sqref="A1:XFD1048576"/>
    </sheetView>
  </sheetViews>
  <sheetFormatPr defaultColWidth="8.7265625" defaultRowHeight="10.5" x14ac:dyDescent="0.25"/>
  <cols>
    <col min="1" max="1" width="8.54296875" style="24" bestFit="1" customWidth="1"/>
    <col min="2" max="2" width="40.6328125" style="24" bestFit="1" customWidth="1"/>
    <col min="3" max="3" width="65.36328125" style="24" bestFit="1" customWidth="1"/>
    <col min="4" max="4" width="9.26953125" style="29" bestFit="1" customWidth="1"/>
    <col min="5" max="5" width="8.54296875" style="29" bestFit="1" customWidth="1"/>
    <col min="6" max="6" width="8.90625" style="24" bestFit="1" customWidth="1"/>
    <col min="7" max="7" width="11.36328125" style="24" bestFit="1" customWidth="1"/>
    <col min="8" max="8" width="34.36328125" style="24" bestFit="1" customWidth="1"/>
    <col min="9" max="9" width="12.08984375" style="29" bestFit="1" customWidth="1"/>
    <col min="10" max="10" width="11.36328125" style="29" bestFit="1" customWidth="1"/>
    <col min="11" max="11" width="11.54296875" style="24" bestFit="1" customWidth="1"/>
    <col min="12" max="12" width="9.7265625" style="24" bestFit="1" customWidth="1"/>
    <col min="13" max="13" width="44.7265625" style="24" bestFit="1" customWidth="1"/>
    <col min="14" max="14" width="10.1796875" style="24" bestFit="1" customWidth="1"/>
    <col min="15" max="15" width="10.90625" style="24" bestFit="1" customWidth="1"/>
    <col min="16" max="16384" width="8.7265625" style="24"/>
  </cols>
  <sheetData>
    <row r="1" spans="1:15" x14ac:dyDescent="0.25">
      <c r="A1" s="20" t="s">
        <v>0</v>
      </c>
      <c r="B1" s="20" t="s">
        <v>1</v>
      </c>
      <c r="C1" s="20" t="s">
        <v>68</v>
      </c>
      <c r="D1" s="21" t="s">
        <v>2</v>
      </c>
      <c r="E1" s="21" t="s">
        <v>3</v>
      </c>
      <c r="F1" s="20" t="s">
        <v>18</v>
      </c>
      <c r="G1" s="20" t="s">
        <v>76</v>
      </c>
      <c r="H1" s="22" t="s">
        <v>72</v>
      </c>
      <c r="I1" s="23" t="s">
        <v>70</v>
      </c>
      <c r="J1" s="23" t="s">
        <v>71</v>
      </c>
      <c r="K1" s="22" t="s">
        <v>73</v>
      </c>
      <c r="L1" s="22" t="s">
        <v>74</v>
      </c>
      <c r="M1" s="22" t="s">
        <v>19</v>
      </c>
      <c r="N1" s="22" t="s">
        <v>77</v>
      </c>
      <c r="O1" s="22" t="s">
        <v>75</v>
      </c>
    </row>
    <row r="2" spans="1:15" x14ac:dyDescent="0.25">
      <c r="A2" s="34" t="s">
        <v>229</v>
      </c>
      <c r="B2" s="25" t="s">
        <v>114</v>
      </c>
      <c r="C2" s="25" t="s">
        <v>484</v>
      </c>
      <c r="D2" s="26">
        <v>42005</v>
      </c>
      <c r="E2" s="26">
        <v>109575</v>
      </c>
      <c r="F2" s="25" t="s">
        <v>308</v>
      </c>
      <c r="G2" s="25" t="b">
        <v>1</v>
      </c>
      <c r="H2" s="27" t="s">
        <v>485</v>
      </c>
      <c r="I2" s="28">
        <v>42005</v>
      </c>
      <c r="J2" s="28">
        <v>109575</v>
      </c>
      <c r="K2" s="27" t="b">
        <v>0</v>
      </c>
      <c r="L2" s="27" t="s">
        <v>486</v>
      </c>
      <c r="M2" s="27" t="s">
        <v>487</v>
      </c>
      <c r="N2" s="68"/>
      <c r="O2" s="69"/>
    </row>
    <row r="3" spans="1:15" x14ac:dyDescent="0.25">
      <c r="A3" s="34" t="s">
        <v>229</v>
      </c>
      <c r="B3" s="25" t="s">
        <v>114</v>
      </c>
      <c r="C3" s="25" t="s">
        <v>484</v>
      </c>
      <c r="D3" s="26">
        <v>42005</v>
      </c>
      <c r="E3" s="26">
        <v>109575</v>
      </c>
      <c r="F3" s="25" t="s">
        <v>308</v>
      </c>
      <c r="G3" s="25" t="b">
        <v>1</v>
      </c>
      <c r="H3" s="27" t="s">
        <v>485</v>
      </c>
      <c r="I3" s="28">
        <v>42005</v>
      </c>
      <c r="J3" s="28">
        <v>109575</v>
      </c>
      <c r="K3" s="27" t="b">
        <v>0</v>
      </c>
      <c r="L3" s="27" t="s">
        <v>486</v>
      </c>
      <c r="M3" s="27" t="s">
        <v>329</v>
      </c>
      <c r="N3" s="68"/>
      <c r="O3" s="69"/>
    </row>
    <row r="4" spans="1:15" x14ac:dyDescent="0.25">
      <c r="A4" s="34" t="s">
        <v>229</v>
      </c>
      <c r="B4" s="25" t="s">
        <v>114</v>
      </c>
      <c r="C4" s="25" t="s">
        <v>484</v>
      </c>
      <c r="D4" s="26">
        <v>42005</v>
      </c>
      <c r="E4" s="26">
        <v>109575</v>
      </c>
      <c r="F4" s="25" t="s">
        <v>308</v>
      </c>
      <c r="G4" s="25" t="b">
        <v>1</v>
      </c>
      <c r="H4" s="27" t="s">
        <v>485</v>
      </c>
      <c r="I4" s="28">
        <v>42005</v>
      </c>
      <c r="J4" s="28">
        <v>109575</v>
      </c>
      <c r="K4" s="27" t="b">
        <v>0</v>
      </c>
      <c r="L4" s="27" t="s">
        <v>486</v>
      </c>
      <c r="M4" s="27" t="s">
        <v>276</v>
      </c>
      <c r="N4" s="68"/>
      <c r="O4" s="69"/>
    </row>
    <row r="5" spans="1:15" x14ac:dyDescent="0.25">
      <c r="A5" s="34" t="s">
        <v>229</v>
      </c>
      <c r="B5" s="25" t="s">
        <v>114</v>
      </c>
      <c r="C5" s="25" t="s">
        <v>484</v>
      </c>
      <c r="D5" s="26">
        <v>42005</v>
      </c>
      <c r="E5" s="26">
        <v>109575</v>
      </c>
      <c r="F5" s="25" t="s">
        <v>308</v>
      </c>
      <c r="G5" s="25" t="b">
        <v>1</v>
      </c>
      <c r="H5" s="27" t="s">
        <v>485</v>
      </c>
      <c r="I5" s="28">
        <v>42005</v>
      </c>
      <c r="J5" s="28">
        <v>109575</v>
      </c>
      <c r="K5" s="27" t="b">
        <v>0</v>
      </c>
      <c r="L5" s="27" t="s">
        <v>486</v>
      </c>
      <c r="M5" s="27" t="s">
        <v>488</v>
      </c>
      <c r="N5" s="68"/>
      <c r="O5" s="69"/>
    </row>
    <row r="6" spans="1:15" x14ac:dyDescent="0.25">
      <c r="A6" s="34" t="s">
        <v>229</v>
      </c>
      <c r="B6" s="25" t="s">
        <v>114</v>
      </c>
      <c r="C6" s="25" t="s">
        <v>484</v>
      </c>
      <c r="D6" s="26">
        <v>42005</v>
      </c>
      <c r="E6" s="26">
        <v>109575</v>
      </c>
      <c r="F6" s="25" t="s">
        <v>308</v>
      </c>
      <c r="G6" s="25" t="b">
        <v>1</v>
      </c>
      <c r="H6" s="27" t="s">
        <v>485</v>
      </c>
      <c r="I6" s="28">
        <v>42005</v>
      </c>
      <c r="J6" s="28">
        <v>109575</v>
      </c>
      <c r="K6" s="27" t="b">
        <v>0</v>
      </c>
      <c r="L6" s="27" t="s">
        <v>486</v>
      </c>
      <c r="M6" s="27" t="s">
        <v>489</v>
      </c>
      <c r="N6" s="68"/>
      <c r="O6" s="69"/>
    </row>
    <row r="7" spans="1:15" x14ac:dyDescent="0.25">
      <c r="A7" s="34" t="s">
        <v>229</v>
      </c>
      <c r="B7" s="25" t="s">
        <v>114</v>
      </c>
      <c r="C7" s="25" t="s">
        <v>484</v>
      </c>
      <c r="D7" s="26">
        <v>42005</v>
      </c>
      <c r="E7" s="26">
        <v>109575</v>
      </c>
      <c r="F7" s="25" t="s">
        <v>308</v>
      </c>
      <c r="G7" s="25" t="b">
        <v>1</v>
      </c>
      <c r="H7" s="27" t="s">
        <v>485</v>
      </c>
      <c r="I7" s="28">
        <v>42005</v>
      </c>
      <c r="J7" s="28">
        <v>109575</v>
      </c>
      <c r="K7" s="27" t="b">
        <v>0</v>
      </c>
      <c r="L7" s="27" t="s">
        <v>486</v>
      </c>
      <c r="M7" s="27" t="s">
        <v>490</v>
      </c>
      <c r="N7" s="68"/>
      <c r="O7" s="69"/>
    </row>
    <row r="8" spans="1:15" x14ac:dyDescent="0.25">
      <c r="A8" s="34" t="s">
        <v>229</v>
      </c>
      <c r="B8" s="25" t="s">
        <v>114</v>
      </c>
      <c r="C8" s="25" t="s">
        <v>484</v>
      </c>
      <c r="D8" s="26">
        <v>42005</v>
      </c>
      <c r="E8" s="26">
        <v>109575</v>
      </c>
      <c r="F8" s="25" t="s">
        <v>308</v>
      </c>
      <c r="G8" s="25" t="b">
        <v>1</v>
      </c>
      <c r="H8" s="27" t="s">
        <v>485</v>
      </c>
      <c r="I8" s="28">
        <v>42005</v>
      </c>
      <c r="J8" s="28">
        <v>109575</v>
      </c>
      <c r="K8" s="27" t="b">
        <v>0</v>
      </c>
      <c r="L8" s="27" t="s">
        <v>486</v>
      </c>
      <c r="M8" s="27" t="s">
        <v>491</v>
      </c>
      <c r="N8" s="68"/>
      <c r="O8" s="69"/>
    </row>
    <row r="9" spans="1:15" x14ac:dyDescent="0.25">
      <c r="A9" s="34" t="s">
        <v>229</v>
      </c>
      <c r="B9" s="25" t="s">
        <v>114</v>
      </c>
      <c r="C9" s="25" t="s">
        <v>484</v>
      </c>
      <c r="D9" s="26">
        <v>42005</v>
      </c>
      <c r="E9" s="26">
        <v>109575</v>
      </c>
      <c r="F9" s="25" t="s">
        <v>308</v>
      </c>
      <c r="G9" s="25" t="b">
        <v>1</v>
      </c>
      <c r="H9" s="27" t="s">
        <v>485</v>
      </c>
      <c r="I9" s="28">
        <v>42005</v>
      </c>
      <c r="J9" s="28">
        <v>109575</v>
      </c>
      <c r="K9" s="27" t="b">
        <v>0</v>
      </c>
      <c r="L9" s="27" t="s">
        <v>486</v>
      </c>
      <c r="M9" s="27" t="s">
        <v>492</v>
      </c>
      <c r="N9" s="68"/>
      <c r="O9" s="69"/>
    </row>
    <row r="10" spans="1:15" x14ac:dyDescent="0.25">
      <c r="A10" s="34" t="s">
        <v>229</v>
      </c>
      <c r="B10" s="25" t="s">
        <v>114</v>
      </c>
      <c r="C10" s="25" t="s">
        <v>484</v>
      </c>
      <c r="D10" s="26">
        <v>42005</v>
      </c>
      <c r="E10" s="26">
        <v>109575</v>
      </c>
      <c r="F10" s="25" t="s">
        <v>308</v>
      </c>
      <c r="G10" s="25" t="b">
        <v>1</v>
      </c>
      <c r="H10" s="27" t="s">
        <v>485</v>
      </c>
      <c r="I10" s="28">
        <v>42005</v>
      </c>
      <c r="J10" s="28">
        <v>109575</v>
      </c>
      <c r="K10" s="27" t="b">
        <v>0</v>
      </c>
      <c r="L10" s="27" t="s">
        <v>486</v>
      </c>
      <c r="M10" s="27" t="s">
        <v>493</v>
      </c>
      <c r="N10" s="68"/>
      <c r="O10" s="69"/>
    </row>
    <row r="11" spans="1:15" x14ac:dyDescent="0.25">
      <c r="A11" s="34" t="s">
        <v>229</v>
      </c>
      <c r="B11" s="25" t="s">
        <v>114</v>
      </c>
      <c r="C11" s="25" t="s">
        <v>484</v>
      </c>
      <c r="D11" s="26">
        <v>42005</v>
      </c>
      <c r="E11" s="26">
        <v>109575</v>
      </c>
      <c r="F11" s="25" t="s">
        <v>308</v>
      </c>
      <c r="G11" s="25" t="b">
        <v>1</v>
      </c>
      <c r="H11" s="27" t="s">
        <v>485</v>
      </c>
      <c r="I11" s="28">
        <v>42005</v>
      </c>
      <c r="J11" s="28">
        <v>109575</v>
      </c>
      <c r="K11" s="27" t="b">
        <v>0</v>
      </c>
      <c r="L11" s="27" t="s">
        <v>486</v>
      </c>
      <c r="M11" s="27" t="s">
        <v>337</v>
      </c>
      <c r="N11" s="68"/>
      <c r="O11" s="69"/>
    </row>
    <row r="12" spans="1:15" x14ac:dyDescent="0.25">
      <c r="A12" s="34" t="s">
        <v>229</v>
      </c>
      <c r="B12" s="25" t="s">
        <v>114</v>
      </c>
      <c r="C12" s="25" t="s">
        <v>484</v>
      </c>
      <c r="D12" s="26">
        <v>42005</v>
      </c>
      <c r="E12" s="26">
        <v>109575</v>
      </c>
      <c r="F12" s="25" t="s">
        <v>308</v>
      </c>
      <c r="G12" s="25" t="b">
        <v>1</v>
      </c>
      <c r="H12" s="27" t="s">
        <v>485</v>
      </c>
      <c r="I12" s="28">
        <v>42005</v>
      </c>
      <c r="J12" s="28">
        <v>109575</v>
      </c>
      <c r="K12" s="27" t="b">
        <v>0</v>
      </c>
      <c r="L12" s="27" t="s">
        <v>486</v>
      </c>
      <c r="M12" s="27" t="s">
        <v>494</v>
      </c>
      <c r="N12" s="68"/>
      <c r="O12" s="69"/>
    </row>
    <row r="13" spans="1:15" x14ac:dyDescent="0.25">
      <c r="A13" s="34" t="s">
        <v>229</v>
      </c>
      <c r="B13" s="25" t="s">
        <v>114</v>
      </c>
      <c r="C13" s="25" t="s">
        <v>484</v>
      </c>
      <c r="D13" s="26">
        <v>42005</v>
      </c>
      <c r="E13" s="26">
        <v>109575</v>
      </c>
      <c r="F13" s="25" t="s">
        <v>308</v>
      </c>
      <c r="G13" s="25" t="b">
        <v>1</v>
      </c>
      <c r="H13" s="27" t="s">
        <v>485</v>
      </c>
      <c r="I13" s="28">
        <v>42005</v>
      </c>
      <c r="J13" s="28">
        <v>109575</v>
      </c>
      <c r="K13" s="27" t="b">
        <v>0</v>
      </c>
      <c r="L13" s="27" t="s">
        <v>486</v>
      </c>
      <c r="M13" s="27" t="s">
        <v>495</v>
      </c>
      <c r="N13" s="68"/>
      <c r="O13" s="69"/>
    </row>
    <row r="14" spans="1:15" x14ac:dyDescent="0.25">
      <c r="A14" s="34" t="s">
        <v>229</v>
      </c>
      <c r="B14" s="25" t="s">
        <v>114</v>
      </c>
      <c r="C14" s="25" t="s">
        <v>484</v>
      </c>
      <c r="D14" s="26">
        <v>42005</v>
      </c>
      <c r="E14" s="26">
        <v>109575</v>
      </c>
      <c r="F14" s="25" t="s">
        <v>308</v>
      </c>
      <c r="G14" s="25" t="b">
        <v>1</v>
      </c>
      <c r="H14" s="27" t="s">
        <v>485</v>
      </c>
      <c r="I14" s="28">
        <v>42005</v>
      </c>
      <c r="J14" s="28">
        <v>109575</v>
      </c>
      <c r="K14" s="27" t="b">
        <v>0</v>
      </c>
      <c r="L14" s="27" t="s">
        <v>486</v>
      </c>
      <c r="M14" s="27" t="s">
        <v>496</v>
      </c>
      <c r="N14" s="68"/>
      <c r="O14" s="69"/>
    </row>
    <row r="15" spans="1:15" x14ac:dyDescent="0.25">
      <c r="A15" s="34" t="s">
        <v>229</v>
      </c>
      <c r="B15" s="25" t="s">
        <v>114</v>
      </c>
      <c r="C15" s="25" t="s">
        <v>484</v>
      </c>
      <c r="D15" s="26">
        <v>42005</v>
      </c>
      <c r="E15" s="26">
        <v>109575</v>
      </c>
      <c r="F15" s="25" t="s">
        <v>308</v>
      </c>
      <c r="G15" s="25" t="b">
        <v>1</v>
      </c>
      <c r="H15" s="27" t="s">
        <v>485</v>
      </c>
      <c r="I15" s="28">
        <v>42005</v>
      </c>
      <c r="J15" s="28">
        <v>109575</v>
      </c>
      <c r="K15" s="27" t="b">
        <v>0</v>
      </c>
      <c r="L15" s="27" t="s">
        <v>486</v>
      </c>
      <c r="M15" s="27" t="s">
        <v>497</v>
      </c>
      <c r="N15" s="68"/>
      <c r="O15" s="69"/>
    </row>
    <row r="16" spans="1:15" x14ac:dyDescent="0.25">
      <c r="A16" s="34" t="s">
        <v>229</v>
      </c>
      <c r="B16" s="25" t="s">
        <v>114</v>
      </c>
      <c r="C16" s="25" t="s">
        <v>484</v>
      </c>
      <c r="D16" s="26">
        <v>42005</v>
      </c>
      <c r="E16" s="26">
        <v>109575</v>
      </c>
      <c r="F16" s="25" t="s">
        <v>308</v>
      </c>
      <c r="G16" s="25" t="b">
        <v>1</v>
      </c>
      <c r="H16" s="27" t="s">
        <v>485</v>
      </c>
      <c r="I16" s="28">
        <v>42005</v>
      </c>
      <c r="J16" s="28">
        <v>109575</v>
      </c>
      <c r="K16" s="27" t="b">
        <v>0</v>
      </c>
      <c r="L16" s="27" t="s">
        <v>486</v>
      </c>
      <c r="M16" s="27" t="s">
        <v>498</v>
      </c>
      <c r="N16" s="68"/>
      <c r="O16" s="69"/>
    </row>
    <row r="17" spans="1:15" x14ac:dyDescent="0.25">
      <c r="A17" s="34" t="s">
        <v>229</v>
      </c>
      <c r="B17" s="25" t="s">
        <v>114</v>
      </c>
      <c r="C17" s="25" t="s">
        <v>484</v>
      </c>
      <c r="D17" s="26">
        <v>42005</v>
      </c>
      <c r="E17" s="26">
        <v>109575</v>
      </c>
      <c r="F17" s="25" t="s">
        <v>308</v>
      </c>
      <c r="G17" s="25" t="b">
        <v>1</v>
      </c>
      <c r="H17" s="27" t="s">
        <v>485</v>
      </c>
      <c r="I17" s="28">
        <v>42005</v>
      </c>
      <c r="J17" s="28">
        <v>109575</v>
      </c>
      <c r="K17" s="27" t="b">
        <v>0</v>
      </c>
      <c r="L17" s="27" t="s">
        <v>486</v>
      </c>
      <c r="M17" s="27" t="s">
        <v>499</v>
      </c>
      <c r="N17" s="68"/>
      <c r="O17" s="69"/>
    </row>
    <row r="18" spans="1:15" x14ac:dyDescent="0.25">
      <c r="A18" s="34" t="s">
        <v>229</v>
      </c>
      <c r="B18" s="25" t="s">
        <v>114</v>
      </c>
      <c r="C18" s="25" t="s">
        <v>484</v>
      </c>
      <c r="D18" s="26">
        <v>42005</v>
      </c>
      <c r="E18" s="26">
        <v>109575</v>
      </c>
      <c r="F18" s="25" t="s">
        <v>308</v>
      </c>
      <c r="G18" s="25" t="b">
        <v>1</v>
      </c>
      <c r="H18" s="27" t="s">
        <v>485</v>
      </c>
      <c r="I18" s="28">
        <v>42005</v>
      </c>
      <c r="J18" s="28">
        <v>109575</v>
      </c>
      <c r="K18" s="27" t="b">
        <v>0</v>
      </c>
      <c r="L18" s="27" t="s">
        <v>486</v>
      </c>
      <c r="M18" s="27" t="s">
        <v>500</v>
      </c>
      <c r="N18" s="68"/>
      <c r="O18" s="69"/>
    </row>
    <row r="19" spans="1:15" x14ac:dyDescent="0.25">
      <c r="A19" s="34" t="s">
        <v>229</v>
      </c>
      <c r="B19" s="25" t="s">
        <v>114</v>
      </c>
      <c r="C19" s="25" t="s">
        <v>484</v>
      </c>
      <c r="D19" s="26">
        <v>42005</v>
      </c>
      <c r="E19" s="26">
        <v>109575</v>
      </c>
      <c r="F19" s="25" t="s">
        <v>308</v>
      </c>
      <c r="G19" s="25" t="b">
        <v>1</v>
      </c>
      <c r="H19" s="27" t="s">
        <v>485</v>
      </c>
      <c r="I19" s="28">
        <v>42005</v>
      </c>
      <c r="J19" s="28">
        <v>109575</v>
      </c>
      <c r="K19" s="27" t="b">
        <v>0</v>
      </c>
      <c r="L19" s="27" t="s">
        <v>486</v>
      </c>
      <c r="M19" s="27" t="s">
        <v>501</v>
      </c>
      <c r="N19" s="68"/>
      <c r="O19" s="69"/>
    </row>
    <row r="20" spans="1:15" x14ac:dyDescent="0.25">
      <c r="A20" s="34" t="s">
        <v>229</v>
      </c>
      <c r="B20" s="25" t="s">
        <v>114</v>
      </c>
      <c r="C20" s="25" t="s">
        <v>484</v>
      </c>
      <c r="D20" s="26">
        <v>42005</v>
      </c>
      <c r="E20" s="26">
        <v>109575</v>
      </c>
      <c r="F20" s="25" t="s">
        <v>308</v>
      </c>
      <c r="G20" s="25" t="b">
        <v>1</v>
      </c>
      <c r="H20" s="27" t="s">
        <v>485</v>
      </c>
      <c r="I20" s="28">
        <v>42005</v>
      </c>
      <c r="J20" s="28">
        <v>109575</v>
      </c>
      <c r="K20" s="27" t="b">
        <v>0</v>
      </c>
      <c r="L20" s="27" t="s">
        <v>486</v>
      </c>
      <c r="M20" s="27" t="s">
        <v>330</v>
      </c>
      <c r="N20" s="68"/>
      <c r="O20" s="69"/>
    </row>
    <row r="21" spans="1:15" x14ac:dyDescent="0.25">
      <c r="A21" s="34" t="s">
        <v>229</v>
      </c>
      <c r="B21" s="25" t="s">
        <v>114</v>
      </c>
      <c r="C21" s="25" t="s">
        <v>484</v>
      </c>
      <c r="D21" s="26">
        <v>42005</v>
      </c>
      <c r="E21" s="26">
        <v>109575</v>
      </c>
      <c r="F21" s="25" t="s">
        <v>308</v>
      </c>
      <c r="G21" s="25" t="b">
        <v>1</v>
      </c>
      <c r="H21" s="27" t="s">
        <v>485</v>
      </c>
      <c r="I21" s="28">
        <v>42005</v>
      </c>
      <c r="J21" s="28">
        <v>109575</v>
      </c>
      <c r="K21" s="27" t="b">
        <v>0</v>
      </c>
      <c r="L21" s="27" t="s">
        <v>486</v>
      </c>
      <c r="M21" s="27" t="s">
        <v>336</v>
      </c>
      <c r="N21" s="68"/>
      <c r="O21" s="69"/>
    </row>
    <row r="22" spans="1:15" x14ac:dyDescent="0.25">
      <c r="A22" s="34" t="s">
        <v>229</v>
      </c>
      <c r="B22" s="25" t="s">
        <v>114</v>
      </c>
      <c r="C22" s="25" t="s">
        <v>484</v>
      </c>
      <c r="D22" s="26">
        <v>42005</v>
      </c>
      <c r="E22" s="26">
        <v>109575</v>
      </c>
      <c r="F22" s="25" t="s">
        <v>308</v>
      </c>
      <c r="G22" s="25" t="b">
        <v>1</v>
      </c>
      <c r="H22" s="27" t="s">
        <v>485</v>
      </c>
      <c r="I22" s="28">
        <v>42005</v>
      </c>
      <c r="J22" s="28">
        <v>109575</v>
      </c>
      <c r="K22" s="27" t="b">
        <v>0</v>
      </c>
      <c r="L22" s="27" t="s">
        <v>486</v>
      </c>
      <c r="M22" s="27" t="s">
        <v>264</v>
      </c>
      <c r="N22" s="68"/>
      <c r="O22" s="69"/>
    </row>
    <row r="23" spans="1:15" x14ac:dyDescent="0.25">
      <c r="A23" s="34" t="s">
        <v>229</v>
      </c>
      <c r="B23" s="25" t="s">
        <v>114</v>
      </c>
      <c r="C23" s="25" t="s">
        <v>484</v>
      </c>
      <c r="D23" s="26">
        <v>42005</v>
      </c>
      <c r="E23" s="26">
        <v>109575</v>
      </c>
      <c r="F23" s="25" t="s">
        <v>308</v>
      </c>
      <c r="G23" s="25" t="b">
        <v>1</v>
      </c>
      <c r="H23" s="27" t="s">
        <v>485</v>
      </c>
      <c r="I23" s="28">
        <v>42005</v>
      </c>
      <c r="J23" s="28">
        <v>109575</v>
      </c>
      <c r="K23" s="27" t="b">
        <v>0</v>
      </c>
      <c r="L23" s="27" t="s">
        <v>486</v>
      </c>
      <c r="M23" s="27" t="s">
        <v>331</v>
      </c>
      <c r="N23" s="68"/>
      <c r="O23" s="69"/>
    </row>
    <row r="24" spans="1:15" x14ac:dyDescent="0.25">
      <c r="A24" s="34" t="s">
        <v>229</v>
      </c>
      <c r="B24" s="25" t="s">
        <v>114</v>
      </c>
      <c r="C24" s="25" t="s">
        <v>484</v>
      </c>
      <c r="D24" s="26">
        <v>42005</v>
      </c>
      <c r="E24" s="26">
        <v>109575</v>
      </c>
      <c r="F24" s="25" t="s">
        <v>308</v>
      </c>
      <c r="G24" s="25" t="b">
        <v>1</v>
      </c>
      <c r="H24" s="27" t="s">
        <v>485</v>
      </c>
      <c r="I24" s="28">
        <v>42005</v>
      </c>
      <c r="J24" s="28">
        <v>109575</v>
      </c>
      <c r="K24" s="27" t="b">
        <v>0</v>
      </c>
      <c r="L24" s="27" t="s">
        <v>486</v>
      </c>
      <c r="M24" s="27" t="s">
        <v>333</v>
      </c>
      <c r="N24" s="68"/>
      <c r="O24" s="69"/>
    </row>
    <row r="25" spans="1:15" x14ac:dyDescent="0.25">
      <c r="A25" s="34" t="s">
        <v>229</v>
      </c>
      <c r="B25" s="25" t="s">
        <v>114</v>
      </c>
      <c r="C25" s="25" t="s">
        <v>484</v>
      </c>
      <c r="D25" s="26">
        <v>42005</v>
      </c>
      <c r="E25" s="26">
        <v>109575</v>
      </c>
      <c r="F25" s="25" t="s">
        <v>308</v>
      </c>
      <c r="G25" s="25" t="b">
        <v>1</v>
      </c>
      <c r="H25" s="27" t="s">
        <v>485</v>
      </c>
      <c r="I25" s="28">
        <v>42005</v>
      </c>
      <c r="J25" s="28">
        <v>109575</v>
      </c>
      <c r="K25" s="27" t="b">
        <v>0</v>
      </c>
      <c r="L25" s="27" t="s">
        <v>486</v>
      </c>
      <c r="M25" s="27" t="s">
        <v>332</v>
      </c>
      <c r="N25" s="68"/>
      <c r="O25" s="69"/>
    </row>
    <row r="26" spans="1:15" x14ac:dyDescent="0.25">
      <c r="A26" s="34" t="s">
        <v>229</v>
      </c>
      <c r="B26" s="25" t="s">
        <v>114</v>
      </c>
      <c r="C26" s="25" t="s">
        <v>484</v>
      </c>
      <c r="D26" s="26">
        <v>42005</v>
      </c>
      <c r="E26" s="26">
        <v>109575</v>
      </c>
      <c r="F26" s="25" t="s">
        <v>308</v>
      </c>
      <c r="G26" s="25" t="b">
        <v>1</v>
      </c>
      <c r="H26" s="27" t="s">
        <v>485</v>
      </c>
      <c r="I26" s="28">
        <v>42005</v>
      </c>
      <c r="J26" s="28">
        <v>109575</v>
      </c>
      <c r="K26" s="27" t="b">
        <v>0</v>
      </c>
      <c r="L26" s="27" t="s">
        <v>486</v>
      </c>
      <c r="M26" s="27" t="s">
        <v>502</v>
      </c>
      <c r="N26" s="68"/>
      <c r="O26" s="69"/>
    </row>
    <row r="27" spans="1:15" x14ac:dyDescent="0.25">
      <c r="A27" s="34" t="s">
        <v>229</v>
      </c>
      <c r="B27" s="25" t="s">
        <v>114</v>
      </c>
      <c r="C27" s="25" t="s">
        <v>484</v>
      </c>
      <c r="D27" s="26">
        <v>42005</v>
      </c>
      <c r="E27" s="26">
        <v>109575</v>
      </c>
      <c r="F27" s="25" t="s">
        <v>308</v>
      </c>
      <c r="G27" s="25" t="b">
        <v>1</v>
      </c>
      <c r="H27" s="27" t="s">
        <v>485</v>
      </c>
      <c r="I27" s="28">
        <v>42005</v>
      </c>
      <c r="J27" s="28">
        <v>109575</v>
      </c>
      <c r="K27" s="27" t="b">
        <v>0</v>
      </c>
      <c r="L27" s="27" t="s">
        <v>486</v>
      </c>
      <c r="M27" s="27" t="s">
        <v>334</v>
      </c>
      <c r="N27" s="68"/>
      <c r="O27" s="69"/>
    </row>
    <row r="28" spans="1:15" x14ac:dyDescent="0.25">
      <c r="A28" s="34" t="s">
        <v>229</v>
      </c>
      <c r="B28" s="25" t="s">
        <v>114</v>
      </c>
      <c r="C28" s="25" t="s">
        <v>484</v>
      </c>
      <c r="D28" s="26">
        <v>42005</v>
      </c>
      <c r="E28" s="26">
        <v>109575</v>
      </c>
      <c r="F28" s="25" t="s">
        <v>308</v>
      </c>
      <c r="G28" s="25" t="b">
        <v>1</v>
      </c>
      <c r="H28" s="27" t="s">
        <v>485</v>
      </c>
      <c r="I28" s="28">
        <v>42005</v>
      </c>
      <c r="J28" s="28">
        <v>109575</v>
      </c>
      <c r="K28" s="27" t="b">
        <v>0</v>
      </c>
      <c r="L28" s="27" t="s">
        <v>486</v>
      </c>
      <c r="M28" s="27" t="s">
        <v>325</v>
      </c>
      <c r="N28" s="68"/>
      <c r="O28" s="69"/>
    </row>
    <row r="29" spans="1:15" x14ac:dyDescent="0.25">
      <c r="A29" s="34" t="s">
        <v>229</v>
      </c>
      <c r="B29" s="25" t="s">
        <v>114</v>
      </c>
      <c r="C29" s="25" t="s">
        <v>484</v>
      </c>
      <c r="D29" s="26">
        <v>42005</v>
      </c>
      <c r="E29" s="26">
        <v>109575</v>
      </c>
      <c r="F29" s="25" t="s">
        <v>308</v>
      </c>
      <c r="G29" s="25" t="b">
        <v>1</v>
      </c>
      <c r="H29" s="27" t="s">
        <v>485</v>
      </c>
      <c r="I29" s="28">
        <v>42005</v>
      </c>
      <c r="J29" s="28">
        <v>109575</v>
      </c>
      <c r="K29" s="27" t="b">
        <v>0</v>
      </c>
      <c r="L29" s="27" t="s">
        <v>486</v>
      </c>
      <c r="M29" s="27" t="s">
        <v>503</v>
      </c>
      <c r="N29" s="68"/>
      <c r="O29" s="69"/>
    </row>
    <row r="30" spans="1:15" x14ac:dyDescent="0.25">
      <c r="A30" s="34" t="s">
        <v>229</v>
      </c>
      <c r="B30" s="25" t="s">
        <v>114</v>
      </c>
      <c r="C30" s="25" t="s">
        <v>484</v>
      </c>
      <c r="D30" s="26">
        <v>42005</v>
      </c>
      <c r="E30" s="26">
        <v>109575</v>
      </c>
      <c r="F30" s="25" t="s">
        <v>308</v>
      </c>
      <c r="G30" s="25" t="b">
        <v>1</v>
      </c>
      <c r="H30" s="27" t="s">
        <v>485</v>
      </c>
      <c r="I30" s="28">
        <v>42005</v>
      </c>
      <c r="J30" s="28">
        <v>109575</v>
      </c>
      <c r="K30" s="27" t="b">
        <v>0</v>
      </c>
      <c r="L30" s="27" t="s">
        <v>486</v>
      </c>
      <c r="M30" s="27" t="s">
        <v>504</v>
      </c>
      <c r="N30" s="68"/>
      <c r="O30" s="69"/>
    </row>
    <row r="31" spans="1:15" x14ac:dyDescent="0.25">
      <c r="A31" s="34" t="s">
        <v>229</v>
      </c>
      <c r="B31" s="25" t="s">
        <v>114</v>
      </c>
      <c r="C31" s="25" t="s">
        <v>484</v>
      </c>
      <c r="D31" s="26">
        <v>42005</v>
      </c>
      <c r="E31" s="26">
        <v>109575</v>
      </c>
      <c r="F31" s="25" t="s">
        <v>308</v>
      </c>
      <c r="G31" s="25" t="b">
        <v>1</v>
      </c>
      <c r="H31" s="27" t="s">
        <v>485</v>
      </c>
      <c r="I31" s="28">
        <v>42005</v>
      </c>
      <c r="J31" s="28">
        <v>109575</v>
      </c>
      <c r="K31" s="27" t="b">
        <v>0</v>
      </c>
      <c r="L31" s="27" t="s">
        <v>486</v>
      </c>
      <c r="M31" s="27" t="s">
        <v>505</v>
      </c>
      <c r="N31" s="68"/>
      <c r="O31" s="69"/>
    </row>
    <row r="32" spans="1:15" x14ac:dyDescent="0.25">
      <c r="A32" s="34" t="s">
        <v>229</v>
      </c>
      <c r="B32" s="25" t="s">
        <v>114</v>
      </c>
      <c r="C32" s="25" t="s">
        <v>484</v>
      </c>
      <c r="D32" s="26">
        <v>42005</v>
      </c>
      <c r="E32" s="26">
        <v>109575</v>
      </c>
      <c r="F32" s="25" t="s">
        <v>308</v>
      </c>
      <c r="G32" s="25" t="b">
        <v>1</v>
      </c>
      <c r="H32" s="27" t="s">
        <v>485</v>
      </c>
      <c r="I32" s="28">
        <v>42005</v>
      </c>
      <c r="J32" s="28">
        <v>109575</v>
      </c>
      <c r="K32" s="27" t="b">
        <v>0</v>
      </c>
      <c r="L32" s="27" t="s">
        <v>486</v>
      </c>
      <c r="M32" s="27" t="s">
        <v>506</v>
      </c>
      <c r="N32" s="68"/>
      <c r="O32" s="69"/>
    </row>
    <row r="33" spans="1:15" x14ac:dyDescent="0.25">
      <c r="A33" s="34" t="s">
        <v>229</v>
      </c>
      <c r="B33" s="25" t="s">
        <v>114</v>
      </c>
      <c r="C33" s="25" t="s">
        <v>484</v>
      </c>
      <c r="D33" s="26">
        <v>42005</v>
      </c>
      <c r="E33" s="26">
        <v>109575</v>
      </c>
      <c r="F33" s="25" t="s">
        <v>308</v>
      </c>
      <c r="G33" s="25" t="b">
        <v>1</v>
      </c>
      <c r="H33" s="27" t="s">
        <v>485</v>
      </c>
      <c r="I33" s="28">
        <v>42005</v>
      </c>
      <c r="J33" s="28">
        <v>109575</v>
      </c>
      <c r="K33" s="27" t="b">
        <v>0</v>
      </c>
      <c r="L33" s="27" t="s">
        <v>486</v>
      </c>
      <c r="M33" s="27" t="s">
        <v>507</v>
      </c>
      <c r="N33" s="68"/>
      <c r="O33" s="69"/>
    </row>
    <row r="34" spans="1:15" x14ac:dyDescent="0.25">
      <c r="A34" s="34" t="s">
        <v>229</v>
      </c>
      <c r="B34" s="25" t="s">
        <v>114</v>
      </c>
      <c r="C34" s="25" t="s">
        <v>484</v>
      </c>
      <c r="D34" s="26">
        <v>42005</v>
      </c>
      <c r="E34" s="26">
        <v>109575</v>
      </c>
      <c r="F34" s="25" t="s">
        <v>308</v>
      </c>
      <c r="G34" s="25" t="b">
        <v>1</v>
      </c>
      <c r="H34" s="27" t="s">
        <v>485</v>
      </c>
      <c r="I34" s="28">
        <v>42005</v>
      </c>
      <c r="J34" s="28">
        <v>109575</v>
      </c>
      <c r="K34" s="27" t="b">
        <v>0</v>
      </c>
      <c r="L34" s="27" t="s">
        <v>486</v>
      </c>
      <c r="M34" s="27" t="s">
        <v>508</v>
      </c>
      <c r="N34" s="68"/>
      <c r="O34" s="69"/>
    </row>
    <row r="35" spans="1:15" x14ac:dyDescent="0.25">
      <c r="A35" s="34" t="s">
        <v>229</v>
      </c>
      <c r="B35" s="25" t="s">
        <v>114</v>
      </c>
      <c r="C35" s="25" t="s">
        <v>484</v>
      </c>
      <c r="D35" s="26">
        <v>42005</v>
      </c>
      <c r="E35" s="26">
        <v>109575</v>
      </c>
      <c r="F35" s="25" t="s">
        <v>308</v>
      </c>
      <c r="G35" s="25" t="b">
        <v>1</v>
      </c>
      <c r="H35" s="27" t="s">
        <v>485</v>
      </c>
      <c r="I35" s="28">
        <v>42005</v>
      </c>
      <c r="J35" s="28">
        <v>109575</v>
      </c>
      <c r="K35" s="27" t="b">
        <v>0</v>
      </c>
      <c r="L35" s="27" t="s">
        <v>486</v>
      </c>
      <c r="M35" s="27" t="s">
        <v>300</v>
      </c>
      <c r="N35" s="68"/>
      <c r="O35" s="69"/>
    </row>
    <row r="36" spans="1:15" x14ac:dyDescent="0.25">
      <c r="A36" s="34" t="s">
        <v>229</v>
      </c>
      <c r="B36" s="25" t="s">
        <v>114</v>
      </c>
      <c r="C36" s="25" t="s">
        <v>484</v>
      </c>
      <c r="D36" s="26">
        <v>42005</v>
      </c>
      <c r="E36" s="26">
        <v>109575</v>
      </c>
      <c r="F36" s="25" t="s">
        <v>308</v>
      </c>
      <c r="G36" s="25" t="b">
        <v>1</v>
      </c>
      <c r="H36" s="27" t="s">
        <v>485</v>
      </c>
      <c r="I36" s="28">
        <v>42005</v>
      </c>
      <c r="J36" s="28">
        <v>109575</v>
      </c>
      <c r="K36" s="27" t="b">
        <v>0</v>
      </c>
      <c r="L36" s="27" t="s">
        <v>486</v>
      </c>
      <c r="M36" s="27" t="s">
        <v>509</v>
      </c>
      <c r="N36" s="68"/>
      <c r="O36" s="69"/>
    </row>
    <row r="37" spans="1:15" x14ac:dyDescent="0.25">
      <c r="A37" s="34" t="s">
        <v>229</v>
      </c>
      <c r="B37" s="25" t="s">
        <v>114</v>
      </c>
      <c r="C37" s="25" t="s">
        <v>484</v>
      </c>
      <c r="D37" s="26">
        <v>42005</v>
      </c>
      <c r="E37" s="26">
        <v>109575</v>
      </c>
      <c r="F37" s="25" t="s">
        <v>308</v>
      </c>
      <c r="G37" s="25" t="b">
        <v>1</v>
      </c>
      <c r="H37" s="27" t="s">
        <v>485</v>
      </c>
      <c r="I37" s="28">
        <v>42005</v>
      </c>
      <c r="J37" s="28">
        <v>109575</v>
      </c>
      <c r="K37" s="27" t="b">
        <v>0</v>
      </c>
      <c r="L37" s="27" t="s">
        <v>486</v>
      </c>
      <c r="M37" s="27" t="s">
        <v>510</v>
      </c>
      <c r="N37" s="68"/>
      <c r="O37" s="69"/>
    </row>
    <row r="38" spans="1:15" x14ac:dyDescent="0.25">
      <c r="A38" s="34" t="s">
        <v>229</v>
      </c>
      <c r="B38" s="25" t="s">
        <v>114</v>
      </c>
      <c r="C38" s="25" t="s">
        <v>484</v>
      </c>
      <c r="D38" s="26">
        <v>42005</v>
      </c>
      <c r="E38" s="26">
        <v>109575</v>
      </c>
      <c r="F38" s="25" t="s">
        <v>308</v>
      </c>
      <c r="G38" s="25" t="b">
        <v>1</v>
      </c>
      <c r="H38" s="27" t="s">
        <v>485</v>
      </c>
      <c r="I38" s="28">
        <v>42005</v>
      </c>
      <c r="J38" s="28">
        <v>109575</v>
      </c>
      <c r="K38" s="27" t="b">
        <v>0</v>
      </c>
      <c r="L38" s="27" t="s">
        <v>486</v>
      </c>
      <c r="M38" s="27" t="s">
        <v>511</v>
      </c>
      <c r="N38" s="68"/>
      <c r="O38" s="69"/>
    </row>
    <row r="39" spans="1:15" x14ac:dyDescent="0.25">
      <c r="A39" s="34" t="s">
        <v>229</v>
      </c>
      <c r="B39" s="25" t="s">
        <v>114</v>
      </c>
      <c r="C39" s="25" t="s">
        <v>484</v>
      </c>
      <c r="D39" s="26">
        <v>42005</v>
      </c>
      <c r="E39" s="26">
        <v>109575</v>
      </c>
      <c r="F39" s="25" t="s">
        <v>308</v>
      </c>
      <c r="G39" s="25" t="b">
        <v>1</v>
      </c>
      <c r="H39" s="27" t="s">
        <v>485</v>
      </c>
      <c r="I39" s="28">
        <v>42005</v>
      </c>
      <c r="J39" s="28">
        <v>109575</v>
      </c>
      <c r="K39" s="27" t="b">
        <v>0</v>
      </c>
      <c r="L39" s="27" t="s">
        <v>486</v>
      </c>
      <c r="M39" s="27" t="s">
        <v>512</v>
      </c>
      <c r="N39" s="68"/>
      <c r="O39" s="69"/>
    </row>
    <row r="40" spans="1:15" x14ac:dyDescent="0.25">
      <c r="A40" s="34" t="s">
        <v>229</v>
      </c>
      <c r="B40" s="25" t="s">
        <v>114</v>
      </c>
      <c r="C40" s="25" t="s">
        <v>484</v>
      </c>
      <c r="D40" s="26">
        <v>42005</v>
      </c>
      <c r="E40" s="26">
        <v>109575</v>
      </c>
      <c r="F40" s="25" t="s">
        <v>308</v>
      </c>
      <c r="G40" s="25" t="b">
        <v>1</v>
      </c>
      <c r="H40" s="27" t="s">
        <v>485</v>
      </c>
      <c r="I40" s="28">
        <v>42005</v>
      </c>
      <c r="J40" s="28">
        <v>109575</v>
      </c>
      <c r="K40" s="27" t="b">
        <v>0</v>
      </c>
      <c r="L40" s="27" t="s">
        <v>486</v>
      </c>
      <c r="M40" s="27" t="s">
        <v>513</v>
      </c>
      <c r="N40" s="68"/>
      <c r="O40" s="69"/>
    </row>
    <row r="41" spans="1:15" x14ac:dyDescent="0.25">
      <c r="A41" s="34" t="s">
        <v>229</v>
      </c>
      <c r="B41" s="25" t="s">
        <v>114</v>
      </c>
      <c r="C41" s="25" t="s">
        <v>484</v>
      </c>
      <c r="D41" s="26">
        <v>42005</v>
      </c>
      <c r="E41" s="26">
        <v>109575</v>
      </c>
      <c r="F41" s="25" t="s">
        <v>308</v>
      </c>
      <c r="G41" s="25" t="b">
        <v>1</v>
      </c>
      <c r="H41" s="27" t="s">
        <v>485</v>
      </c>
      <c r="I41" s="28">
        <v>42005</v>
      </c>
      <c r="J41" s="28">
        <v>109575</v>
      </c>
      <c r="K41" s="27" t="b">
        <v>0</v>
      </c>
      <c r="L41" s="27" t="s">
        <v>486</v>
      </c>
      <c r="M41" s="27" t="s">
        <v>266</v>
      </c>
      <c r="N41" s="68"/>
      <c r="O41" s="69"/>
    </row>
    <row r="42" spans="1:15" x14ac:dyDescent="0.25">
      <c r="A42" s="34" t="s">
        <v>229</v>
      </c>
      <c r="B42" s="25" t="s">
        <v>114</v>
      </c>
      <c r="C42" s="25" t="s">
        <v>484</v>
      </c>
      <c r="D42" s="26">
        <v>42005</v>
      </c>
      <c r="E42" s="26">
        <v>109575</v>
      </c>
      <c r="F42" s="25" t="s">
        <v>308</v>
      </c>
      <c r="G42" s="25" t="b">
        <v>1</v>
      </c>
      <c r="H42" s="27" t="s">
        <v>485</v>
      </c>
      <c r="I42" s="28">
        <v>42005</v>
      </c>
      <c r="J42" s="28">
        <v>109575</v>
      </c>
      <c r="K42" s="27" t="b">
        <v>0</v>
      </c>
      <c r="L42" s="27" t="s">
        <v>486</v>
      </c>
      <c r="M42" s="27" t="s">
        <v>514</v>
      </c>
      <c r="N42" s="68"/>
      <c r="O42" s="69"/>
    </row>
    <row r="43" spans="1:15" x14ac:dyDescent="0.25">
      <c r="A43" s="34" t="s">
        <v>229</v>
      </c>
      <c r="B43" s="25" t="s">
        <v>114</v>
      </c>
      <c r="C43" s="25" t="s">
        <v>484</v>
      </c>
      <c r="D43" s="26">
        <v>42005</v>
      </c>
      <c r="E43" s="26">
        <v>109575</v>
      </c>
      <c r="F43" s="25" t="s">
        <v>308</v>
      </c>
      <c r="G43" s="25" t="b">
        <v>1</v>
      </c>
      <c r="H43" s="27" t="s">
        <v>485</v>
      </c>
      <c r="I43" s="28">
        <v>42005</v>
      </c>
      <c r="J43" s="28">
        <v>109575</v>
      </c>
      <c r="K43" s="27" t="b">
        <v>0</v>
      </c>
      <c r="L43" s="27" t="s">
        <v>486</v>
      </c>
      <c r="M43" s="27" t="s">
        <v>302</v>
      </c>
      <c r="N43" s="68"/>
      <c r="O43" s="69"/>
    </row>
    <row r="44" spans="1:15" x14ac:dyDescent="0.25">
      <c r="A44" s="34" t="s">
        <v>229</v>
      </c>
      <c r="B44" s="25" t="s">
        <v>114</v>
      </c>
      <c r="C44" s="25" t="s">
        <v>484</v>
      </c>
      <c r="D44" s="26">
        <v>42005</v>
      </c>
      <c r="E44" s="26">
        <v>109575</v>
      </c>
      <c r="F44" s="25" t="s">
        <v>308</v>
      </c>
      <c r="G44" s="25" t="b">
        <v>1</v>
      </c>
      <c r="H44" s="27" t="s">
        <v>485</v>
      </c>
      <c r="I44" s="28">
        <v>42005</v>
      </c>
      <c r="J44" s="28">
        <v>109575</v>
      </c>
      <c r="K44" s="27" t="b">
        <v>0</v>
      </c>
      <c r="L44" s="27" t="s">
        <v>486</v>
      </c>
      <c r="M44" s="27" t="s">
        <v>515</v>
      </c>
      <c r="N44" s="68"/>
      <c r="O44" s="69"/>
    </row>
    <row r="45" spans="1:15" x14ac:dyDescent="0.25">
      <c r="A45" s="34" t="s">
        <v>229</v>
      </c>
      <c r="B45" s="25" t="s">
        <v>114</v>
      </c>
      <c r="C45" s="25" t="s">
        <v>484</v>
      </c>
      <c r="D45" s="26">
        <v>42005</v>
      </c>
      <c r="E45" s="26">
        <v>109575</v>
      </c>
      <c r="F45" s="25" t="s">
        <v>308</v>
      </c>
      <c r="G45" s="25" t="b">
        <v>1</v>
      </c>
      <c r="H45" s="27" t="s">
        <v>485</v>
      </c>
      <c r="I45" s="28">
        <v>42005</v>
      </c>
      <c r="J45" s="28">
        <v>109575</v>
      </c>
      <c r="K45" s="27" t="b">
        <v>0</v>
      </c>
      <c r="L45" s="27" t="s">
        <v>486</v>
      </c>
      <c r="M45" s="27" t="s">
        <v>295</v>
      </c>
      <c r="N45" s="68"/>
      <c r="O45" s="69"/>
    </row>
    <row r="46" spans="1:15" x14ac:dyDescent="0.25">
      <c r="A46" s="34" t="s">
        <v>229</v>
      </c>
      <c r="B46" s="25" t="s">
        <v>114</v>
      </c>
      <c r="C46" s="25" t="s">
        <v>484</v>
      </c>
      <c r="D46" s="26">
        <v>42005</v>
      </c>
      <c r="E46" s="26">
        <v>109575</v>
      </c>
      <c r="F46" s="25" t="s">
        <v>308</v>
      </c>
      <c r="G46" s="25" t="b">
        <v>1</v>
      </c>
      <c r="H46" s="27" t="s">
        <v>485</v>
      </c>
      <c r="I46" s="28">
        <v>42005</v>
      </c>
      <c r="J46" s="28">
        <v>109575</v>
      </c>
      <c r="K46" s="27" t="b">
        <v>0</v>
      </c>
      <c r="L46" s="27" t="s">
        <v>486</v>
      </c>
      <c r="M46" s="27" t="s">
        <v>296</v>
      </c>
      <c r="N46" s="68"/>
      <c r="O46" s="69"/>
    </row>
    <row r="47" spans="1:15" x14ac:dyDescent="0.25">
      <c r="A47" s="34" t="s">
        <v>229</v>
      </c>
      <c r="B47" s="25" t="s">
        <v>114</v>
      </c>
      <c r="C47" s="25" t="s">
        <v>484</v>
      </c>
      <c r="D47" s="26">
        <v>42005</v>
      </c>
      <c r="E47" s="26">
        <v>109575</v>
      </c>
      <c r="F47" s="25" t="s">
        <v>308</v>
      </c>
      <c r="G47" s="25" t="b">
        <v>1</v>
      </c>
      <c r="H47" s="27" t="s">
        <v>485</v>
      </c>
      <c r="I47" s="28">
        <v>42005</v>
      </c>
      <c r="J47" s="28">
        <v>109575</v>
      </c>
      <c r="K47" s="27" t="b">
        <v>0</v>
      </c>
      <c r="L47" s="27" t="s">
        <v>486</v>
      </c>
      <c r="M47" s="27" t="s">
        <v>516</v>
      </c>
      <c r="N47" s="68"/>
      <c r="O47" s="69"/>
    </row>
    <row r="48" spans="1:15" x14ac:dyDescent="0.25">
      <c r="A48" s="34" t="s">
        <v>229</v>
      </c>
      <c r="B48" s="25" t="s">
        <v>114</v>
      </c>
      <c r="C48" s="25" t="s">
        <v>484</v>
      </c>
      <c r="D48" s="26">
        <v>42005</v>
      </c>
      <c r="E48" s="26">
        <v>109575</v>
      </c>
      <c r="F48" s="25" t="s">
        <v>308</v>
      </c>
      <c r="G48" s="25" t="b">
        <v>1</v>
      </c>
      <c r="H48" s="27" t="s">
        <v>485</v>
      </c>
      <c r="I48" s="28">
        <v>42005</v>
      </c>
      <c r="J48" s="28">
        <v>109575</v>
      </c>
      <c r="K48" s="27" t="b">
        <v>0</v>
      </c>
      <c r="L48" s="27" t="s">
        <v>486</v>
      </c>
      <c r="M48" s="27" t="s">
        <v>517</v>
      </c>
      <c r="N48" s="68"/>
      <c r="O48" s="69"/>
    </row>
    <row r="49" spans="1:15" x14ac:dyDescent="0.25">
      <c r="A49" s="34" t="s">
        <v>229</v>
      </c>
      <c r="B49" s="25" t="s">
        <v>114</v>
      </c>
      <c r="C49" s="25" t="s">
        <v>484</v>
      </c>
      <c r="D49" s="26">
        <v>42005</v>
      </c>
      <c r="E49" s="26">
        <v>109575</v>
      </c>
      <c r="F49" s="25" t="s">
        <v>308</v>
      </c>
      <c r="G49" s="25" t="b">
        <v>1</v>
      </c>
      <c r="H49" s="27" t="s">
        <v>485</v>
      </c>
      <c r="I49" s="28">
        <v>42005</v>
      </c>
      <c r="J49" s="28">
        <v>109575</v>
      </c>
      <c r="K49" s="27" t="b">
        <v>0</v>
      </c>
      <c r="L49" s="27" t="s">
        <v>486</v>
      </c>
      <c r="M49" s="27" t="s">
        <v>518</v>
      </c>
      <c r="N49" s="68"/>
      <c r="O49" s="69"/>
    </row>
    <row r="50" spans="1:15" x14ac:dyDescent="0.25">
      <c r="A50" s="34" t="s">
        <v>229</v>
      </c>
      <c r="B50" s="25" t="s">
        <v>114</v>
      </c>
      <c r="C50" s="25" t="s">
        <v>484</v>
      </c>
      <c r="D50" s="26">
        <v>42005</v>
      </c>
      <c r="E50" s="26">
        <v>109575</v>
      </c>
      <c r="F50" s="25" t="s">
        <v>308</v>
      </c>
      <c r="G50" s="25" t="b">
        <v>1</v>
      </c>
      <c r="H50" s="27" t="s">
        <v>485</v>
      </c>
      <c r="I50" s="28">
        <v>42005</v>
      </c>
      <c r="J50" s="28">
        <v>109575</v>
      </c>
      <c r="K50" s="27" t="b">
        <v>0</v>
      </c>
      <c r="L50" s="27" t="s">
        <v>486</v>
      </c>
      <c r="M50" s="27" t="s">
        <v>519</v>
      </c>
      <c r="N50" s="68"/>
      <c r="O50" s="69"/>
    </row>
    <row r="51" spans="1:15" x14ac:dyDescent="0.25">
      <c r="A51" s="34" t="s">
        <v>229</v>
      </c>
      <c r="B51" s="25" t="s">
        <v>114</v>
      </c>
      <c r="C51" s="25" t="s">
        <v>484</v>
      </c>
      <c r="D51" s="26">
        <v>42005</v>
      </c>
      <c r="E51" s="26">
        <v>109575</v>
      </c>
      <c r="F51" s="25" t="s">
        <v>308</v>
      </c>
      <c r="G51" s="25" t="b">
        <v>1</v>
      </c>
      <c r="H51" s="27" t="s">
        <v>485</v>
      </c>
      <c r="I51" s="28">
        <v>42005</v>
      </c>
      <c r="J51" s="28">
        <v>109575</v>
      </c>
      <c r="K51" s="27" t="b">
        <v>0</v>
      </c>
      <c r="L51" s="27" t="s">
        <v>486</v>
      </c>
      <c r="M51" s="27" t="s">
        <v>520</v>
      </c>
      <c r="N51" s="68"/>
      <c r="O51" s="69"/>
    </row>
    <row r="52" spans="1:15" x14ac:dyDescent="0.25">
      <c r="A52" s="34" t="s">
        <v>229</v>
      </c>
      <c r="B52" s="25" t="s">
        <v>114</v>
      </c>
      <c r="C52" s="25" t="s">
        <v>484</v>
      </c>
      <c r="D52" s="26">
        <v>42005</v>
      </c>
      <c r="E52" s="26">
        <v>109575</v>
      </c>
      <c r="F52" s="25" t="s">
        <v>308</v>
      </c>
      <c r="G52" s="25" t="b">
        <v>1</v>
      </c>
      <c r="H52" s="27" t="s">
        <v>485</v>
      </c>
      <c r="I52" s="28">
        <v>42005</v>
      </c>
      <c r="J52" s="28">
        <v>109575</v>
      </c>
      <c r="K52" s="27" t="b">
        <v>0</v>
      </c>
      <c r="L52" s="27" t="s">
        <v>486</v>
      </c>
      <c r="M52" s="27" t="s">
        <v>301</v>
      </c>
      <c r="N52" s="68"/>
      <c r="O52" s="69"/>
    </row>
    <row r="53" spans="1:15" x14ac:dyDescent="0.25">
      <c r="A53" s="34" t="s">
        <v>229</v>
      </c>
      <c r="B53" s="25" t="s">
        <v>114</v>
      </c>
      <c r="C53" s="25" t="s">
        <v>484</v>
      </c>
      <c r="D53" s="26">
        <v>42005</v>
      </c>
      <c r="E53" s="26">
        <v>109575</v>
      </c>
      <c r="F53" s="25" t="s">
        <v>308</v>
      </c>
      <c r="G53" s="25" t="b">
        <v>1</v>
      </c>
      <c r="H53" s="27" t="s">
        <v>485</v>
      </c>
      <c r="I53" s="28">
        <v>42005</v>
      </c>
      <c r="J53" s="28">
        <v>109575</v>
      </c>
      <c r="K53" s="27" t="b">
        <v>0</v>
      </c>
      <c r="L53" s="27" t="s">
        <v>486</v>
      </c>
      <c r="M53" s="27" t="s">
        <v>521</v>
      </c>
      <c r="N53" s="68"/>
      <c r="O53" s="69"/>
    </row>
    <row r="54" spans="1:15" x14ac:dyDescent="0.25">
      <c r="A54" s="34" t="s">
        <v>229</v>
      </c>
      <c r="B54" s="25" t="s">
        <v>114</v>
      </c>
      <c r="C54" s="25" t="s">
        <v>484</v>
      </c>
      <c r="D54" s="26">
        <v>42005</v>
      </c>
      <c r="E54" s="26">
        <v>109575</v>
      </c>
      <c r="F54" s="25" t="s">
        <v>308</v>
      </c>
      <c r="G54" s="25" t="b">
        <v>1</v>
      </c>
      <c r="H54" s="27" t="s">
        <v>485</v>
      </c>
      <c r="I54" s="28">
        <v>42005</v>
      </c>
      <c r="J54" s="28">
        <v>109575</v>
      </c>
      <c r="K54" s="27" t="b">
        <v>0</v>
      </c>
      <c r="L54" s="27" t="s">
        <v>486</v>
      </c>
      <c r="M54" s="27" t="s">
        <v>286</v>
      </c>
      <c r="N54" s="68"/>
      <c r="O54" s="69"/>
    </row>
    <row r="55" spans="1:15" x14ac:dyDescent="0.25">
      <c r="A55" s="34" t="s">
        <v>229</v>
      </c>
      <c r="B55" s="25" t="s">
        <v>114</v>
      </c>
      <c r="C55" s="25" t="s">
        <v>484</v>
      </c>
      <c r="D55" s="26">
        <v>42005</v>
      </c>
      <c r="E55" s="26">
        <v>109575</v>
      </c>
      <c r="F55" s="25" t="s">
        <v>308</v>
      </c>
      <c r="G55" s="25" t="b">
        <v>1</v>
      </c>
      <c r="H55" s="27" t="s">
        <v>485</v>
      </c>
      <c r="I55" s="28">
        <v>42005</v>
      </c>
      <c r="J55" s="28">
        <v>109575</v>
      </c>
      <c r="K55" s="27" t="b">
        <v>0</v>
      </c>
      <c r="L55" s="27" t="s">
        <v>486</v>
      </c>
      <c r="M55" s="27" t="s">
        <v>285</v>
      </c>
      <c r="N55" s="68"/>
      <c r="O55" s="69"/>
    </row>
    <row r="56" spans="1:15" x14ac:dyDescent="0.25">
      <c r="A56" s="34" t="s">
        <v>229</v>
      </c>
      <c r="B56" s="25" t="s">
        <v>114</v>
      </c>
      <c r="C56" s="25" t="s">
        <v>484</v>
      </c>
      <c r="D56" s="26">
        <v>42005</v>
      </c>
      <c r="E56" s="26">
        <v>109575</v>
      </c>
      <c r="F56" s="25" t="s">
        <v>308</v>
      </c>
      <c r="G56" s="25" t="b">
        <v>1</v>
      </c>
      <c r="H56" s="27" t="s">
        <v>485</v>
      </c>
      <c r="I56" s="28">
        <v>42005</v>
      </c>
      <c r="J56" s="28">
        <v>109575</v>
      </c>
      <c r="K56" s="27" t="b">
        <v>0</v>
      </c>
      <c r="L56" s="27" t="s">
        <v>486</v>
      </c>
      <c r="M56" s="27" t="s">
        <v>522</v>
      </c>
      <c r="N56" s="68"/>
      <c r="O56" s="69"/>
    </row>
    <row r="57" spans="1:15" x14ac:dyDescent="0.25">
      <c r="A57" s="34" t="s">
        <v>229</v>
      </c>
      <c r="B57" s="25" t="s">
        <v>114</v>
      </c>
      <c r="C57" s="25" t="s">
        <v>484</v>
      </c>
      <c r="D57" s="26">
        <v>42005</v>
      </c>
      <c r="E57" s="26">
        <v>109575</v>
      </c>
      <c r="F57" s="25" t="s">
        <v>308</v>
      </c>
      <c r="G57" s="25" t="b">
        <v>1</v>
      </c>
      <c r="H57" s="27" t="s">
        <v>485</v>
      </c>
      <c r="I57" s="28">
        <v>42005</v>
      </c>
      <c r="J57" s="28">
        <v>109575</v>
      </c>
      <c r="K57" s="27" t="b">
        <v>0</v>
      </c>
      <c r="L57" s="27" t="s">
        <v>486</v>
      </c>
      <c r="M57" s="27" t="s">
        <v>233</v>
      </c>
      <c r="N57" s="68"/>
      <c r="O57" s="69"/>
    </row>
    <row r="58" spans="1:15" x14ac:dyDescent="0.25">
      <c r="A58" s="34" t="s">
        <v>229</v>
      </c>
      <c r="B58" s="25" t="s">
        <v>114</v>
      </c>
      <c r="C58" s="25" t="s">
        <v>484</v>
      </c>
      <c r="D58" s="26">
        <v>42005</v>
      </c>
      <c r="E58" s="26">
        <v>109575</v>
      </c>
      <c r="F58" s="25" t="s">
        <v>308</v>
      </c>
      <c r="G58" s="25" t="b">
        <v>1</v>
      </c>
      <c r="H58" s="27" t="s">
        <v>485</v>
      </c>
      <c r="I58" s="28">
        <v>42005</v>
      </c>
      <c r="J58" s="28">
        <v>109575</v>
      </c>
      <c r="K58" s="27" t="b">
        <v>0</v>
      </c>
      <c r="L58" s="27" t="s">
        <v>486</v>
      </c>
      <c r="M58" s="27" t="s">
        <v>318</v>
      </c>
      <c r="N58" s="68"/>
      <c r="O58" s="69"/>
    </row>
    <row r="59" spans="1:15" x14ac:dyDescent="0.25">
      <c r="A59" s="34" t="s">
        <v>229</v>
      </c>
      <c r="B59" s="25" t="s">
        <v>114</v>
      </c>
      <c r="C59" s="25" t="s">
        <v>484</v>
      </c>
      <c r="D59" s="26">
        <v>42005</v>
      </c>
      <c r="E59" s="26">
        <v>109575</v>
      </c>
      <c r="F59" s="25" t="s">
        <v>308</v>
      </c>
      <c r="G59" s="25" t="b">
        <v>1</v>
      </c>
      <c r="H59" s="27" t="s">
        <v>485</v>
      </c>
      <c r="I59" s="28">
        <v>42005</v>
      </c>
      <c r="J59" s="28">
        <v>109575</v>
      </c>
      <c r="K59" s="27" t="b">
        <v>0</v>
      </c>
      <c r="L59" s="27" t="s">
        <v>486</v>
      </c>
      <c r="M59" s="27" t="s">
        <v>319</v>
      </c>
      <c r="N59" s="68"/>
      <c r="O59" s="69"/>
    </row>
    <row r="60" spans="1:15" x14ac:dyDescent="0.25">
      <c r="A60" s="34" t="s">
        <v>229</v>
      </c>
      <c r="B60" s="25" t="s">
        <v>114</v>
      </c>
      <c r="C60" s="25" t="s">
        <v>484</v>
      </c>
      <c r="D60" s="26">
        <v>42005</v>
      </c>
      <c r="E60" s="26">
        <v>109575</v>
      </c>
      <c r="F60" s="25" t="s">
        <v>308</v>
      </c>
      <c r="G60" s="25" t="b">
        <v>1</v>
      </c>
      <c r="H60" s="27" t="s">
        <v>485</v>
      </c>
      <c r="I60" s="28">
        <v>42005</v>
      </c>
      <c r="J60" s="28">
        <v>109575</v>
      </c>
      <c r="K60" s="27" t="b">
        <v>0</v>
      </c>
      <c r="L60" s="27" t="s">
        <v>486</v>
      </c>
      <c r="M60" s="27" t="s">
        <v>320</v>
      </c>
      <c r="N60" s="68"/>
      <c r="O60" s="69"/>
    </row>
    <row r="61" spans="1:15" x14ac:dyDescent="0.25">
      <c r="A61" s="34" t="s">
        <v>229</v>
      </c>
      <c r="B61" s="25" t="s">
        <v>114</v>
      </c>
      <c r="C61" s="25" t="s">
        <v>484</v>
      </c>
      <c r="D61" s="26">
        <v>42005</v>
      </c>
      <c r="E61" s="26">
        <v>109575</v>
      </c>
      <c r="F61" s="25" t="s">
        <v>308</v>
      </c>
      <c r="G61" s="25" t="b">
        <v>1</v>
      </c>
      <c r="H61" s="27" t="s">
        <v>485</v>
      </c>
      <c r="I61" s="28">
        <v>42005</v>
      </c>
      <c r="J61" s="28">
        <v>109575</v>
      </c>
      <c r="K61" s="27" t="b">
        <v>0</v>
      </c>
      <c r="L61" s="27" t="s">
        <v>486</v>
      </c>
      <c r="M61" s="27" t="s">
        <v>321</v>
      </c>
      <c r="N61" s="68"/>
      <c r="O61" s="69"/>
    </row>
    <row r="62" spans="1:15" x14ac:dyDescent="0.25">
      <c r="A62" s="34" t="s">
        <v>229</v>
      </c>
      <c r="B62" s="25" t="s">
        <v>114</v>
      </c>
      <c r="C62" s="25" t="s">
        <v>484</v>
      </c>
      <c r="D62" s="26">
        <v>42005</v>
      </c>
      <c r="E62" s="26">
        <v>109575</v>
      </c>
      <c r="F62" s="25" t="s">
        <v>308</v>
      </c>
      <c r="G62" s="25" t="b">
        <v>1</v>
      </c>
      <c r="H62" s="27" t="s">
        <v>485</v>
      </c>
      <c r="I62" s="28">
        <v>42005</v>
      </c>
      <c r="J62" s="28">
        <v>109575</v>
      </c>
      <c r="K62" s="27" t="b">
        <v>0</v>
      </c>
      <c r="L62" s="27" t="s">
        <v>486</v>
      </c>
      <c r="M62" s="27" t="s">
        <v>322</v>
      </c>
      <c r="N62" s="68"/>
      <c r="O62" s="69"/>
    </row>
    <row r="63" spans="1:15" x14ac:dyDescent="0.25">
      <c r="A63" s="34" t="s">
        <v>229</v>
      </c>
      <c r="B63" s="25" t="s">
        <v>114</v>
      </c>
      <c r="C63" s="25" t="s">
        <v>484</v>
      </c>
      <c r="D63" s="26">
        <v>42005</v>
      </c>
      <c r="E63" s="26">
        <v>109575</v>
      </c>
      <c r="F63" s="25" t="s">
        <v>308</v>
      </c>
      <c r="G63" s="25" t="b">
        <v>1</v>
      </c>
      <c r="H63" s="27" t="s">
        <v>485</v>
      </c>
      <c r="I63" s="28">
        <v>42005</v>
      </c>
      <c r="J63" s="28">
        <v>109575</v>
      </c>
      <c r="K63" s="27" t="b">
        <v>0</v>
      </c>
      <c r="L63" s="27" t="s">
        <v>486</v>
      </c>
      <c r="M63" s="27" t="s">
        <v>257</v>
      </c>
      <c r="N63" s="68"/>
      <c r="O63" s="69"/>
    </row>
    <row r="64" spans="1:15" x14ac:dyDescent="0.25">
      <c r="A64" s="34" t="s">
        <v>229</v>
      </c>
      <c r="B64" s="25" t="s">
        <v>114</v>
      </c>
      <c r="C64" s="25" t="s">
        <v>484</v>
      </c>
      <c r="D64" s="26">
        <v>42005</v>
      </c>
      <c r="E64" s="26">
        <v>109575</v>
      </c>
      <c r="F64" s="25" t="s">
        <v>308</v>
      </c>
      <c r="G64" s="25" t="b">
        <v>1</v>
      </c>
      <c r="H64" s="27" t="s">
        <v>485</v>
      </c>
      <c r="I64" s="28">
        <v>42005</v>
      </c>
      <c r="J64" s="28">
        <v>109575</v>
      </c>
      <c r="K64" s="27" t="b">
        <v>0</v>
      </c>
      <c r="L64" s="27" t="s">
        <v>486</v>
      </c>
      <c r="M64" s="27" t="s">
        <v>258</v>
      </c>
      <c r="N64" s="68"/>
      <c r="O64" s="69"/>
    </row>
    <row r="65" spans="1:15" x14ac:dyDescent="0.25">
      <c r="A65" s="34" t="s">
        <v>229</v>
      </c>
      <c r="B65" s="25" t="s">
        <v>114</v>
      </c>
      <c r="C65" s="25" t="s">
        <v>484</v>
      </c>
      <c r="D65" s="26">
        <v>42005</v>
      </c>
      <c r="E65" s="26">
        <v>109575</v>
      </c>
      <c r="F65" s="25" t="s">
        <v>308</v>
      </c>
      <c r="G65" s="25" t="b">
        <v>1</v>
      </c>
      <c r="H65" s="27" t="s">
        <v>485</v>
      </c>
      <c r="I65" s="28">
        <v>42005</v>
      </c>
      <c r="J65" s="28">
        <v>109575</v>
      </c>
      <c r="K65" s="27" t="b">
        <v>0</v>
      </c>
      <c r="L65" s="27" t="s">
        <v>486</v>
      </c>
      <c r="M65" s="27" t="s">
        <v>523</v>
      </c>
      <c r="N65" s="68"/>
      <c r="O65" s="69"/>
    </row>
    <row r="66" spans="1:15" x14ac:dyDescent="0.25">
      <c r="A66" s="34" t="s">
        <v>229</v>
      </c>
      <c r="B66" s="25" t="s">
        <v>114</v>
      </c>
      <c r="C66" s="25" t="s">
        <v>484</v>
      </c>
      <c r="D66" s="26">
        <v>42005</v>
      </c>
      <c r="E66" s="26">
        <v>109575</v>
      </c>
      <c r="F66" s="25" t="s">
        <v>308</v>
      </c>
      <c r="G66" s="25" t="b">
        <v>1</v>
      </c>
      <c r="H66" s="27" t="s">
        <v>485</v>
      </c>
      <c r="I66" s="28">
        <v>42005</v>
      </c>
      <c r="J66" s="28">
        <v>109575</v>
      </c>
      <c r="K66" s="27" t="b">
        <v>0</v>
      </c>
      <c r="L66" s="27" t="s">
        <v>486</v>
      </c>
      <c r="M66" s="27" t="s">
        <v>524</v>
      </c>
      <c r="N66" s="68"/>
      <c r="O66" s="69"/>
    </row>
    <row r="67" spans="1:15" x14ac:dyDescent="0.25">
      <c r="A67" s="34" t="s">
        <v>229</v>
      </c>
      <c r="B67" s="25" t="s">
        <v>114</v>
      </c>
      <c r="C67" s="25" t="s">
        <v>484</v>
      </c>
      <c r="D67" s="26">
        <v>42005</v>
      </c>
      <c r="E67" s="26">
        <v>109575</v>
      </c>
      <c r="F67" s="25" t="s">
        <v>308</v>
      </c>
      <c r="G67" s="25" t="b">
        <v>1</v>
      </c>
      <c r="H67" s="27" t="s">
        <v>485</v>
      </c>
      <c r="I67" s="28">
        <v>42005</v>
      </c>
      <c r="J67" s="28">
        <v>109575</v>
      </c>
      <c r="K67" s="27" t="b">
        <v>0</v>
      </c>
      <c r="L67" s="27" t="s">
        <v>486</v>
      </c>
      <c r="M67" s="27" t="s">
        <v>525</v>
      </c>
      <c r="N67" s="68"/>
      <c r="O67" s="69"/>
    </row>
    <row r="68" spans="1:15" x14ac:dyDescent="0.25">
      <c r="A68" s="34" t="s">
        <v>229</v>
      </c>
      <c r="B68" s="25" t="s">
        <v>114</v>
      </c>
      <c r="C68" s="25" t="s">
        <v>484</v>
      </c>
      <c r="D68" s="26">
        <v>42005</v>
      </c>
      <c r="E68" s="26">
        <v>109575</v>
      </c>
      <c r="F68" s="25" t="s">
        <v>308</v>
      </c>
      <c r="G68" s="25" t="b">
        <v>1</v>
      </c>
      <c r="H68" s="27" t="s">
        <v>526</v>
      </c>
      <c r="I68" s="28">
        <v>42005</v>
      </c>
      <c r="J68" s="28">
        <v>109575</v>
      </c>
      <c r="K68" s="27" t="b">
        <v>0</v>
      </c>
      <c r="L68" s="27" t="s">
        <v>486</v>
      </c>
      <c r="M68" s="27" t="s">
        <v>527</v>
      </c>
      <c r="N68" s="68"/>
      <c r="O68" s="69"/>
    </row>
    <row r="69" spans="1:15" x14ac:dyDescent="0.25">
      <c r="A69" s="34" t="s">
        <v>229</v>
      </c>
      <c r="B69" s="25" t="s">
        <v>114</v>
      </c>
      <c r="C69" s="25" t="s">
        <v>484</v>
      </c>
      <c r="D69" s="26">
        <v>42005</v>
      </c>
      <c r="E69" s="26">
        <v>109575</v>
      </c>
      <c r="F69" s="25" t="s">
        <v>308</v>
      </c>
      <c r="G69" s="25" t="b">
        <v>1</v>
      </c>
      <c r="H69" s="27" t="s">
        <v>526</v>
      </c>
      <c r="I69" s="28">
        <v>42005</v>
      </c>
      <c r="J69" s="28">
        <v>109575</v>
      </c>
      <c r="K69" s="27" t="b">
        <v>0</v>
      </c>
      <c r="L69" s="27" t="s">
        <v>486</v>
      </c>
      <c r="M69" s="27" t="s">
        <v>528</v>
      </c>
      <c r="N69" s="68"/>
      <c r="O69" s="69"/>
    </row>
    <row r="70" spans="1:15" x14ac:dyDescent="0.25">
      <c r="A70" s="34" t="s">
        <v>229</v>
      </c>
      <c r="B70" s="25" t="s">
        <v>114</v>
      </c>
      <c r="C70" s="25" t="s">
        <v>484</v>
      </c>
      <c r="D70" s="26">
        <v>42005</v>
      </c>
      <c r="E70" s="26">
        <v>109575</v>
      </c>
      <c r="F70" s="25" t="s">
        <v>308</v>
      </c>
      <c r="G70" s="25" t="b">
        <v>1</v>
      </c>
      <c r="H70" s="27" t="s">
        <v>526</v>
      </c>
      <c r="I70" s="28">
        <v>42005</v>
      </c>
      <c r="J70" s="28">
        <v>109575</v>
      </c>
      <c r="K70" s="27" t="b">
        <v>0</v>
      </c>
      <c r="L70" s="27" t="s">
        <v>486</v>
      </c>
      <c r="M70" s="27" t="s">
        <v>529</v>
      </c>
      <c r="N70" s="68"/>
      <c r="O70" s="69"/>
    </row>
    <row r="71" spans="1:15" x14ac:dyDescent="0.25">
      <c r="A71" s="34" t="s">
        <v>229</v>
      </c>
      <c r="B71" s="25" t="s">
        <v>114</v>
      </c>
      <c r="C71" s="25" t="s">
        <v>484</v>
      </c>
      <c r="D71" s="26">
        <v>42005</v>
      </c>
      <c r="E71" s="26">
        <v>109575</v>
      </c>
      <c r="F71" s="25" t="s">
        <v>308</v>
      </c>
      <c r="G71" s="25" t="b">
        <v>1</v>
      </c>
      <c r="H71" s="27" t="s">
        <v>526</v>
      </c>
      <c r="I71" s="28">
        <v>42005</v>
      </c>
      <c r="J71" s="28">
        <v>109575</v>
      </c>
      <c r="K71" s="27" t="b">
        <v>0</v>
      </c>
      <c r="L71" s="27" t="s">
        <v>486</v>
      </c>
      <c r="M71" s="27" t="s">
        <v>530</v>
      </c>
      <c r="N71" s="68"/>
      <c r="O71" s="69"/>
    </row>
    <row r="72" spans="1:15" x14ac:dyDescent="0.25">
      <c r="A72" s="34" t="s">
        <v>229</v>
      </c>
      <c r="B72" s="25" t="s">
        <v>114</v>
      </c>
      <c r="C72" s="25" t="s">
        <v>484</v>
      </c>
      <c r="D72" s="26">
        <v>42005</v>
      </c>
      <c r="E72" s="26">
        <v>109575</v>
      </c>
      <c r="F72" s="25" t="s">
        <v>308</v>
      </c>
      <c r="G72" s="25" t="b">
        <v>1</v>
      </c>
      <c r="H72" s="27" t="s">
        <v>526</v>
      </c>
      <c r="I72" s="28">
        <v>42005</v>
      </c>
      <c r="J72" s="28">
        <v>109575</v>
      </c>
      <c r="K72" s="27" t="b">
        <v>0</v>
      </c>
      <c r="L72" s="27" t="s">
        <v>486</v>
      </c>
      <c r="M72" s="27" t="s">
        <v>531</v>
      </c>
      <c r="N72" s="68"/>
      <c r="O72" s="69"/>
    </row>
    <row r="73" spans="1:15" x14ac:dyDescent="0.25">
      <c r="A73" s="34" t="s">
        <v>229</v>
      </c>
      <c r="B73" s="25" t="s">
        <v>114</v>
      </c>
      <c r="C73" s="25" t="s">
        <v>484</v>
      </c>
      <c r="D73" s="26">
        <v>42005</v>
      </c>
      <c r="E73" s="26">
        <v>109575</v>
      </c>
      <c r="F73" s="25" t="s">
        <v>308</v>
      </c>
      <c r="G73" s="25" t="b">
        <v>1</v>
      </c>
      <c r="H73" s="27" t="s">
        <v>526</v>
      </c>
      <c r="I73" s="28">
        <v>42005</v>
      </c>
      <c r="J73" s="28">
        <v>109575</v>
      </c>
      <c r="K73" s="27" t="b">
        <v>0</v>
      </c>
      <c r="L73" s="27" t="s">
        <v>486</v>
      </c>
      <c r="M73" s="27" t="s">
        <v>532</v>
      </c>
      <c r="N73" s="68"/>
      <c r="O73" s="69"/>
    </row>
    <row r="74" spans="1:15" x14ac:dyDescent="0.25">
      <c r="A74" s="34" t="s">
        <v>229</v>
      </c>
      <c r="B74" s="25" t="s">
        <v>114</v>
      </c>
      <c r="C74" s="25" t="s">
        <v>484</v>
      </c>
      <c r="D74" s="26">
        <v>42005</v>
      </c>
      <c r="E74" s="26">
        <v>109575</v>
      </c>
      <c r="F74" s="25" t="s">
        <v>308</v>
      </c>
      <c r="G74" s="25" t="b">
        <v>1</v>
      </c>
      <c r="H74" s="27" t="s">
        <v>526</v>
      </c>
      <c r="I74" s="28">
        <v>42005</v>
      </c>
      <c r="J74" s="28">
        <v>109575</v>
      </c>
      <c r="K74" s="27" t="b">
        <v>0</v>
      </c>
      <c r="L74" s="27" t="s">
        <v>486</v>
      </c>
      <c r="M74" s="27" t="s">
        <v>533</v>
      </c>
      <c r="N74" s="68"/>
      <c r="O74" s="69"/>
    </row>
    <row r="75" spans="1:15" x14ac:dyDescent="0.25">
      <c r="A75" s="34" t="s">
        <v>229</v>
      </c>
      <c r="B75" s="25" t="s">
        <v>114</v>
      </c>
      <c r="C75" s="25" t="s">
        <v>484</v>
      </c>
      <c r="D75" s="26">
        <v>42005</v>
      </c>
      <c r="E75" s="26">
        <v>109575</v>
      </c>
      <c r="F75" s="25" t="s">
        <v>308</v>
      </c>
      <c r="G75" s="25" t="b">
        <v>1</v>
      </c>
      <c r="H75" s="27" t="s">
        <v>526</v>
      </c>
      <c r="I75" s="28">
        <v>42005</v>
      </c>
      <c r="J75" s="28">
        <v>109575</v>
      </c>
      <c r="K75" s="27" t="b">
        <v>0</v>
      </c>
      <c r="L75" s="27" t="s">
        <v>486</v>
      </c>
      <c r="M75" s="27" t="s">
        <v>534</v>
      </c>
      <c r="N75" s="68"/>
      <c r="O75" s="69"/>
    </row>
    <row r="76" spans="1:15" x14ac:dyDescent="0.25">
      <c r="A76" s="34" t="s">
        <v>229</v>
      </c>
      <c r="B76" s="25" t="s">
        <v>114</v>
      </c>
      <c r="C76" s="25" t="s">
        <v>484</v>
      </c>
      <c r="D76" s="26">
        <v>42005</v>
      </c>
      <c r="E76" s="26">
        <v>109575</v>
      </c>
      <c r="F76" s="25" t="s">
        <v>308</v>
      </c>
      <c r="G76" s="25" t="b">
        <v>1</v>
      </c>
      <c r="H76" s="27" t="s">
        <v>526</v>
      </c>
      <c r="I76" s="28">
        <v>42005</v>
      </c>
      <c r="J76" s="28">
        <v>109575</v>
      </c>
      <c r="K76" s="27" t="b">
        <v>0</v>
      </c>
      <c r="L76" s="27" t="s">
        <v>486</v>
      </c>
      <c r="M76" s="27" t="s">
        <v>535</v>
      </c>
      <c r="N76" s="68"/>
      <c r="O76" s="69"/>
    </row>
    <row r="77" spans="1:15" x14ac:dyDescent="0.25">
      <c r="A77" s="34" t="s">
        <v>229</v>
      </c>
      <c r="B77" s="25" t="s">
        <v>114</v>
      </c>
      <c r="C77" s="25" t="s">
        <v>484</v>
      </c>
      <c r="D77" s="26">
        <v>42005</v>
      </c>
      <c r="E77" s="26">
        <v>109575</v>
      </c>
      <c r="F77" s="25" t="s">
        <v>308</v>
      </c>
      <c r="G77" s="25" t="b">
        <v>1</v>
      </c>
      <c r="H77" s="27" t="s">
        <v>526</v>
      </c>
      <c r="I77" s="28">
        <v>42005</v>
      </c>
      <c r="J77" s="28">
        <v>109575</v>
      </c>
      <c r="K77" s="27" t="b">
        <v>0</v>
      </c>
      <c r="L77" s="27" t="s">
        <v>486</v>
      </c>
      <c r="M77" s="27" t="s">
        <v>536</v>
      </c>
      <c r="N77" s="68"/>
      <c r="O77" s="69"/>
    </row>
    <row r="78" spans="1:15" x14ac:dyDescent="0.25">
      <c r="A78" s="34" t="s">
        <v>229</v>
      </c>
      <c r="B78" s="25" t="s">
        <v>483</v>
      </c>
      <c r="C78" s="25" t="s">
        <v>482</v>
      </c>
      <c r="D78" s="26">
        <v>45658</v>
      </c>
      <c r="E78" s="26">
        <v>109575</v>
      </c>
      <c r="F78" s="25" t="s">
        <v>236</v>
      </c>
      <c r="G78" s="25" t="b">
        <v>0</v>
      </c>
      <c r="H78" s="27" t="s">
        <v>537</v>
      </c>
      <c r="I78" s="28">
        <v>45658</v>
      </c>
      <c r="J78" s="28">
        <v>109575</v>
      </c>
      <c r="K78" s="27"/>
      <c r="L78" s="27" t="s">
        <v>538</v>
      </c>
      <c r="M78" s="27"/>
      <c r="N78" s="66">
        <v>35000</v>
      </c>
      <c r="O78" s="65">
        <v>44999</v>
      </c>
    </row>
    <row r="79" spans="1:15" x14ac:dyDescent="0.25">
      <c r="A79" s="34" t="s">
        <v>229</v>
      </c>
      <c r="B79" s="25" t="s">
        <v>483</v>
      </c>
      <c r="C79" s="25" t="s">
        <v>482</v>
      </c>
      <c r="D79" s="26">
        <v>45658</v>
      </c>
      <c r="E79" s="26">
        <v>109575</v>
      </c>
      <c r="F79" s="25" t="s">
        <v>236</v>
      </c>
      <c r="G79" s="25" t="b">
        <v>0</v>
      </c>
      <c r="H79" s="27" t="s">
        <v>537</v>
      </c>
      <c r="I79" s="28">
        <v>45658</v>
      </c>
      <c r="J79" s="28">
        <v>109575</v>
      </c>
      <c r="K79" s="27"/>
      <c r="L79" s="27" t="s">
        <v>538</v>
      </c>
      <c r="M79" s="27"/>
      <c r="N79" s="66">
        <v>45000</v>
      </c>
      <c r="O79" s="65">
        <v>99999999</v>
      </c>
    </row>
    <row r="80" spans="1:15" x14ac:dyDescent="0.25">
      <c r="A80" s="34" t="s">
        <v>229</v>
      </c>
      <c r="B80" s="25" t="s">
        <v>483</v>
      </c>
      <c r="C80" s="25" t="s">
        <v>482</v>
      </c>
      <c r="D80" s="26">
        <v>45658</v>
      </c>
      <c r="E80" s="26">
        <v>109575</v>
      </c>
      <c r="F80" s="25" t="s">
        <v>236</v>
      </c>
      <c r="G80" s="25" t="b">
        <v>0</v>
      </c>
      <c r="H80" s="27" t="s">
        <v>539</v>
      </c>
      <c r="I80" s="28">
        <v>45658</v>
      </c>
      <c r="J80" s="28">
        <v>109575</v>
      </c>
      <c r="K80" s="27"/>
      <c r="L80" s="27" t="s">
        <v>538</v>
      </c>
      <c r="M80" s="27"/>
      <c r="N80" s="66">
        <v>2</v>
      </c>
      <c r="O80" s="65">
        <v>2.9</v>
      </c>
    </row>
    <row r="81" spans="1:15" x14ac:dyDescent="0.25">
      <c r="A81" s="34" t="s">
        <v>229</v>
      </c>
      <c r="B81" s="25" t="s">
        <v>483</v>
      </c>
      <c r="C81" s="25" t="s">
        <v>482</v>
      </c>
      <c r="D81" s="26">
        <v>45658</v>
      </c>
      <c r="E81" s="26">
        <v>109575</v>
      </c>
      <c r="F81" s="25" t="s">
        <v>236</v>
      </c>
      <c r="G81" s="25" t="b">
        <v>0</v>
      </c>
      <c r="H81" s="27" t="s">
        <v>539</v>
      </c>
      <c r="I81" s="28">
        <v>45658</v>
      </c>
      <c r="J81" s="28">
        <v>109575</v>
      </c>
      <c r="K81" s="27"/>
      <c r="L81" s="27" t="s">
        <v>538</v>
      </c>
      <c r="M81" s="27"/>
      <c r="N81" s="66">
        <v>3</v>
      </c>
      <c r="O81" s="65">
        <v>99999999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09137-60A7-40B3-9618-CEF82705F0F4}">
  <sheetPr codeName="Sheet4">
    <tabColor theme="7" tint="0.59999389629810485"/>
  </sheetPr>
  <dimension ref="D1:D843"/>
  <sheetViews>
    <sheetView workbookViewId="0">
      <selection activeCell="E12" sqref="E12"/>
    </sheetView>
  </sheetViews>
  <sheetFormatPr defaultRowHeight="14.5" x14ac:dyDescent="0.35"/>
  <cols>
    <col min="4" max="4" width="40.6328125" style="24" bestFit="1" customWidth="1"/>
  </cols>
  <sheetData>
    <row r="1" spans="4:4" x14ac:dyDescent="0.35">
      <c r="D1" s="20" t="s">
        <v>1</v>
      </c>
    </row>
    <row r="2" spans="4:4" x14ac:dyDescent="0.35">
      <c r="D2" s="25" t="s">
        <v>107</v>
      </c>
    </row>
    <row r="3" spans="4:4" x14ac:dyDescent="0.35">
      <c r="D3" s="25" t="s">
        <v>108</v>
      </c>
    </row>
    <row r="4" spans="4:4" x14ac:dyDescent="0.35">
      <c r="D4" s="25" t="s">
        <v>109</v>
      </c>
    </row>
    <row r="5" spans="4:4" x14ac:dyDescent="0.35">
      <c r="D5" s="25" t="s">
        <v>110</v>
      </c>
    </row>
    <row r="6" spans="4:4" x14ac:dyDescent="0.35">
      <c r="D6" s="25" t="s">
        <v>111</v>
      </c>
    </row>
    <row r="7" spans="4:4" x14ac:dyDescent="0.35">
      <c r="D7" s="25" t="s">
        <v>112</v>
      </c>
    </row>
    <row r="8" spans="4:4" x14ac:dyDescent="0.35">
      <c r="D8" s="25" t="s">
        <v>113</v>
      </c>
    </row>
    <row r="9" spans="4:4" x14ac:dyDescent="0.35">
      <c r="D9" s="25" t="s">
        <v>114</v>
      </c>
    </row>
    <row r="10" spans="4:4" x14ac:dyDescent="0.35">
      <c r="D10" s="25" t="s">
        <v>115</v>
      </c>
    </row>
    <row r="11" spans="4:4" x14ac:dyDescent="0.35">
      <c r="D11" s="25" t="s">
        <v>116</v>
      </c>
    </row>
    <row r="12" spans="4:4" x14ac:dyDescent="0.35">
      <c r="D12" s="25" t="s">
        <v>117</v>
      </c>
    </row>
    <row r="13" spans="4:4" x14ac:dyDescent="0.35">
      <c r="D13" s="25" t="s">
        <v>118</v>
      </c>
    </row>
    <row r="14" spans="4:4" x14ac:dyDescent="0.35">
      <c r="D14" s="25" t="s">
        <v>119</v>
      </c>
    </row>
    <row r="15" spans="4:4" x14ac:dyDescent="0.35">
      <c r="D15" s="25" t="s">
        <v>120</v>
      </c>
    </row>
    <row r="16" spans="4:4" x14ac:dyDescent="0.35">
      <c r="D16" s="25" t="s">
        <v>121</v>
      </c>
    </row>
    <row r="17" spans="4:4" x14ac:dyDescent="0.35">
      <c r="D17" s="25" t="s">
        <v>122</v>
      </c>
    </row>
    <row r="18" spans="4:4" x14ac:dyDescent="0.35">
      <c r="D18" s="25" t="s">
        <v>123</v>
      </c>
    </row>
    <row r="19" spans="4:4" x14ac:dyDescent="0.35">
      <c r="D19" s="25" t="s">
        <v>124</v>
      </c>
    </row>
    <row r="20" spans="4:4" x14ac:dyDescent="0.35">
      <c r="D20" s="25" t="s">
        <v>125</v>
      </c>
    </row>
    <row r="21" spans="4:4" x14ac:dyDescent="0.35">
      <c r="D21" s="25" t="s">
        <v>126</v>
      </c>
    </row>
    <row r="22" spans="4:4" x14ac:dyDescent="0.35">
      <c r="D22" s="25" t="s">
        <v>127</v>
      </c>
    </row>
    <row r="23" spans="4:4" x14ac:dyDescent="0.35">
      <c r="D23" s="25" t="s">
        <v>128</v>
      </c>
    </row>
    <row r="24" spans="4:4" x14ac:dyDescent="0.35">
      <c r="D24" s="25" t="s">
        <v>129</v>
      </c>
    </row>
    <row r="25" spans="4:4" x14ac:dyDescent="0.35">
      <c r="D25" s="25" t="s">
        <v>130</v>
      </c>
    </row>
    <row r="26" spans="4:4" x14ac:dyDescent="0.35">
      <c r="D26" s="25" t="s">
        <v>131</v>
      </c>
    </row>
    <row r="27" spans="4:4" x14ac:dyDescent="0.35">
      <c r="D27" s="25" t="s">
        <v>132</v>
      </c>
    </row>
    <row r="28" spans="4:4" x14ac:dyDescent="0.35">
      <c r="D28" s="25" t="s">
        <v>133</v>
      </c>
    </row>
    <row r="29" spans="4:4" x14ac:dyDescent="0.35">
      <c r="D29" s="25" t="s">
        <v>134</v>
      </c>
    </row>
    <row r="30" spans="4:4" x14ac:dyDescent="0.35">
      <c r="D30" s="25" t="s">
        <v>135</v>
      </c>
    </row>
    <row r="31" spans="4:4" x14ac:dyDescent="0.35">
      <c r="D31" s="25" t="s">
        <v>136</v>
      </c>
    </row>
    <row r="32" spans="4:4" x14ac:dyDescent="0.35">
      <c r="D32" s="25" t="s">
        <v>137</v>
      </c>
    </row>
    <row r="33" spans="4:4" x14ac:dyDescent="0.35">
      <c r="D33" s="25" t="s">
        <v>138</v>
      </c>
    </row>
    <row r="34" spans="4:4" x14ac:dyDescent="0.35">
      <c r="D34" s="25" t="s">
        <v>139</v>
      </c>
    </row>
    <row r="35" spans="4:4" x14ac:dyDescent="0.35">
      <c r="D35" s="25" t="s">
        <v>140</v>
      </c>
    </row>
    <row r="36" spans="4:4" x14ac:dyDescent="0.35">
      <c r="D36" s="25" t="s">
        <v>141</v>
      </c>
    </row>
    <row r="37" spans="4:4" x14ac:dyDescent="0.35">
      <c r="D37" s="25" t="s">
        <v>142</v>
      </c>
    </row>
    <row r="38" spans="4:4" x14ac:dyDescent="0.35">
      <c r="D38" s="25" t="s">
        <v>143</v>
      </c>
    </row>
    <row r="39" spans="4:4" x14ac:dyDescent="0.35">
      <c r="D39" s="25" t="s">
        <v>144</v>
      </c>
    </row>
    <row r="40" spans="4:4" x14ac:dyDescent="0.35">
      <c r="D40" s="25" t="s">
        <v>145</v>
      </c>
    </row>
    <row r="41" spans="4:4" x14ac:dyDescent="0.35">
      <c r="D41" s="25" t="s">
        <v>146</v>
      </c>
    </row>
    <row r="42" spans="4:4" x14ac:dyDescent="0.35">
      <c r="D42" s="25" t="s">
        <v>147</v>
      </c>
    </row>
    <row r="43" spans="4:4" x14ac:dyDescent="0.35">
      <c r="D43" s="25" t="s">
        <v>148</v>
      </c>
    </row>
    <row r="44" spans="4:4" x14ac:dyDescent="0.35">
      <c r="D44" s="25" t="s">
        <v>149</v>
      </c>
    </row>
    <row r="45" spans="4:4" x14ac:dyDescent="0.35">
      <c r="D45" s="25" t="s">
        <v>150</v>
      </c>
    </row>
    <row r="46" spans="4:4" x14ac:dyDescent="0.35">
      <c r="D46" s="25" t="s">
        <v>151</v>
      </c>
    </row>
    <row r="47" spans="4:4" x14ac:dyDescent="0.35">
      <c r="D47" s="25" t="s">
        <v>152</v>
      </c>
    </row>
    <row r="48" spans="4:4" x14ac:dyDescent="0.35">
      <c r="D48" s="25" t="s">
        <v>153</v>
      </c>
    </row>
    <row r="49" spans="4:4" x14ac:dyDescent="0.35">
      <c r="D49" s="25" t="s">
        <v>154</v>
      </c>
    </row>
    <row r="50" spans="4:4" x14ac:dyDescent="0.35">
      <c r="D50" s="25" t="s">
        <v>155</v>
      </c>
    </row>
    <row r="51" spans="4:4" x14ac:dyDescent="0.35">
      <c r="D51" s="25" t="s">
        <v>156</v>
      </c>
    </row>
    <row r="52" spans="4:4" x14ac:dyDescent="0.35">
      <c r="D52" s="25" t="s">
        <v>157</v>
      </c>
    </row>
    <row r="53" spans="4:4" x14ac:dyDescent="0.35">
      <c r="D53" s="25" t="s">
        <v>158</v>
      </c>
    </row>
    <row r="54" spans="4:4" x14ac:dyDescent="0.35">
      <c r="D54" s="25" t="s">
        <v>159</v>
      </c>
    </row>
    <row r="55" spans="4:4" x14ac:dyDescent="0.35">
      <c r="D55" s="25" t="s">
        <v>160</v>
      </c>
    </row>
    <row r="56" spans="4:4" x14ac:dyDescent="0.35">
      <c r="D56" s="25" t="s">
        <v>161</v>
      </c>
    </row>
    <row r="57" spans="4:4" x14ac:dyDescent="0.35">
      <c r="D57" s="25" t="s">
        <v>162</v>
      </c>
    </row>
    <row r="58" spans="4:4" x14ac:dyDescent="0.35">
      <c r="D58" s="25" t="s">
        <v>163</v>
      </c>
    </row>
    <row r="59" spans="4:4" x14ac:dyDescent="0.35">
      <c r="D59" s="25" t="s">
        <v>164</v>
      </c>
    </row>
    <row r="60" spans="4:4" x14ac:dyDescent="0.35">
      <c r="D60" s="25" t="s">
        <v>165</v>
      </c>
    </row>
    <row r="61" spans="4:4" x14ac:dyDescent="0.35">
      <c r="D61" s="25" t="s">
        <v>166</v>
      </c>
    </row>
    <row r="62" spans="4:4" x14ac:dyDescent="0.35">
      <c r="D62" s="25" t="s">
        <v>167</v>
      </c>
    </row>
    <row r="63" spans="4:4" x14ac:dyDescent="0.35">
      <c r="D63" s="25" t="s">
        <v>168</v>
      </c>
    </row>
    <row r="64" spans="4:4" x14ac:dyDescent="0.35">
      <c r="D64" s="25" t="s">
        <v>169</v>
      </c>
    </row>
    <row r="65" spans="4:4" x14ac:dyDescent="0.35">
      <c r="D65" s="25" t="s">
        <v>170</v>
      </c>
    </row>
    <row r="66" spans="4:4" x14ac:dyDescent="0.35">
      <c r="D66" s="25" t="s">
        <v>171</v>
      </c>
    </row>
    <row r="67" spans="4:4" x14ac:dyDescent="0.35">
      <c r="D67" s="25" t="s">
        <v>172</v>
      </c>
    </row>
    <row r="68" spans="4:4" x14ac:dyDescent="0.35">
      <c r="D68" s="25" t="s">
        <v>173</v>
      </c>
    </row>
    <row r="69" spans="4:4" x14ac:dyDescent="0.35">
      <c r="D69" s="25" t="s">
        <v>174</v>
      </c>
    </row>
    <row r="70" spans="4:4" x14ac:dyDescent="0.35">
      <c r="D70" s="25" t="s">
        <v>175</v>
      </c>
    </row>
    <row r="71" spans="4:4" x14ac:dyDescent="0.35">
      <c r="D71" s="25" t="s">
        <v>176</v>
      </c>
    </row>
    <row r="72" spans="4:4" x14ac:dyDescent="0.35">
      <c r="D72" s="25" t="s">
        <v>177</v>
      </c>
    </row>
    <row r="73" spans="4:4" x14ac:dyDescent="0.35">
      <c r="D73" s="25" t="s">
        <v>178</v>
      </c>
    </row>
    <row r="74" spans="4:4" x14ac:dyDescent="0.35">
      <c r="D74" s="25" t="s">
        <v>179</v>
      </c>
    </row>
    <row r="75" spans="4:4" x14ac:dyDescent="0.35">
      <c r="D75" s="25" t="s">
        <v>180</v>
      </c>
    </row>
    <row r="76" spans="4:4" x14ac:dyDescent="0.35">
      <c r="D76" s="25" t="s">
        <v>181</v>
      </c>
    </row>
    <row r="77" spans="4:4" x14ac:dyDescent="0.35">
      <c r="D77" s="25" t="s">
        <v>182</v>
      </c>
    </row>
    <row r="78" spans="4:4" x14ac:dyDescent="0.35">
      <c r="D78" s="25" t="s">
        <v>183</v>
      </c>
    </row>
    <row r="79" spans="4:4" x14ac:dyDescent="0.35">
      <c r="D79" s="25" t="s">
        <v>184</v>
      </c>
    </row>
    <row r="80" spans="4:4" x14ac:dyDescent="0.35">
      <c r="D80" s="25" t="s">
        <v>185</v>
      </c>
    </row>
    <row r="81" spans="4:4" x14ac:dyDescent="0.35">
      <c r="D81" s="25" t="s">
        <v>186</v>
      </c>
    </row>
    <row r="82" spans="4:4" x14ac:dyDescent="0.35">
      <c r="D82" s="25" t="s">
        <v>187</v>
      </c>
    </row>
    <row r="83" spans="4:4" x14ac:dyDescent="0.35">
      <c r="D83" s="25" t="s">
        <v>188</v>
      </c>
    </row>
    <row r="84" spans="4:4" x14ac:dyDescent="0.35">
      <c r="D84" s="25" t="s">
        <v>189</v>
      </c>
    </row>
    <row r="85" spans="4:4" x14ac:dyDescent="0.35">
      <c r="D85" s="25" t="s">
        <v>190</v>
      </c>
    </row>
    <row r="86" spans="4:4" x14ac:dyDescent="0.35">
      <c r="D86" s="25" t="s">
        <v>191</v>
      </c>
    </row>
    <row r="87" spans="4:4" x14ac:dyDescent="0.35">
      <c r="D87" s="25" t="s">
        <v>192</v>
      </c>
    </row>
    <row r="88" spans="4:4" x14ac:dyDescent="0.35">
      <c r="D88" s="25" t="s">
        <v>193</v>
      </c>
    </row>
    <row r="89" spans="4:4" x14ac:dyDescent="0.35">
      <c r="D89" s="25" t="s">
        <v>194</v>
      </c>
    </row>
    <row r="90" spans="4:4" x14ac:dyDescent="0.35">
      <c r="D90" s="25" t="s">
        <v>195</v>
      </c>
    </row>
    <row r="91" spans="4:4" x14ac:dyDescent="0.35">
      <c r="D91" s="25" t="s">
        <v>196</v>
      </c>
    </row>
    <row r="92" spans="4:4" x14ac:dyDescent="0.35">
      <c r="D92" s="25" t="s">
        <v>197</v>
      </c>
    </row>
    <row r="93" spans="4:4" x14ac:dyDescent="0.35">
      <c r="D93" s="25" t="s">
        <v>198</v>
      </c>
    </row>
    <row r="94" spans="4:4" x14ac:dyDescent="0.35">
      <c r="D94" s="25" t="s">
        <v>199</v>
      </c>
    </row>
    <row r="95" spans="4:4" x14ac:dyDescent="0.35">
      <c r="D95" s="25" t="s">
        <v>200</v>
      </c>
    </row>
    <row r="96" spans="4:4" x14ac:dyDescent="0.35">
      <c r="D96" s="25" t="s">
        <v>201</v>
      </c>
    </row>
    <row r="97" spans="4:4" x14ac:dyDescent="0.35">
      <c r="D97" s="25" t="s">
        <v>202</v>
      </c>
    </row>
    <row r="98" spans="4:4" x14ac:dyDescent="0.35">
      <c r="D98" s="25" t="s">
        <v>203</v>
      </c>
    </row>
    <row r="99" spans="4:4" x14ac:dyDescent="0.35">
      <c r="D99" s="25" t="s">
        <v>204</v>
      </c>
    </row>
    <row r="100" spans="4:4" x14ac:dyDescent="0.35">
      <c r="D100" s="25" t="s">
        <v>205</v>
      </c>
    </row>
    <row r="101" spans="4:4" x14ac:dyDescent="0.35">
      <c r="D101" s="25" t="s">
        <v>206</v>
      </c>
    </row>
    <row r="102" spans="4:4" x14ac:dyDescent="0.35">
      <c r="D102" s="25" t="s">
        <v>207</v>
      </c>
    </row>
    <row r="103" spans="4:4" x14ac:dyDescent="0.35">
      <c r="D103" s="25" t="s">
        <v>208</v>
      </c>
    </row>
    <row r="104" spans="4:4" x14ac:dyDescent="0.35">
      <c r="D104" s="25" t="s">
        <v>209</v>
      </c>
    </row>
    <row r="105" spans="4:4" x14ac:dyDescent="0.35">
      <c r="D105" s="25" t="s">
        <v>210</v>
      </c>
    </row>
    <row r="106" spans="4:4" x14ac:dyDescent="0.35">
      <c r="D106" s="25" t="s">
        <v>211</v>
      </c>
    </row>
    <row r="107" spans="4:4" x14ac:dyDescent="0.35">
      <c r="D107" s="25" t="s">
        <v>212</v>
      </c>
    </row>
    <row r="108" spans="4:4" x14ac:dyDescent="0.35">
      <c r="D108" s="25" t="s">
        <v>213</v>
      </c>
    </row>
    <row r="109" spans="4:4" x14ac:dyDescent="0.35">
      <c r="D109" s="25" t="s">
        <v>214</v>
      </c>
    </row>
    <row r="110" spans="4:4" x14ac:dyDescent="0.35">
      <c r="D110" s="25" t="s">
        <v>215</v>
      </c>
    </row>
    <row r="111" spans="4:4" x14ac:dyDescent="0.35">
      <c r="D111" s="25" t="s">
        <v>216</v>
      </c>
    </row>
    <row r="112" spans="4:4" x14ac:dyDescent="0.35">
      <c r="D112" s="25" t="s">
        <v>217</v>
      </c>
    </row>
    <row r="113" spans="4:4" x14ac:dyDescent="0.35">
      <c r="D113" s="25" t="s">
        <v>218</v>
      </c>
    </row>
    <row r="114" spans="4:4" x14ac:dyDescent="0.35">
      <c r="D114" s="25" t="s">
        <v>219</v>
      </c>
    </row>
    <row r="115" spans="4:4" x14ac:dyDescent="0.35">
      <c r="D115" s="25" t="s">
        <v>220</v>
      </c>
    </row>
    <row r="116" spans="4:4" x14ac:dyDescent="0.35">
      <c r="D116" s="25" t="s">
        <v>221</v>
      </c>
    </row>
    <row r="117" spans="4:4" x14ac:dyDescent="0.35">
      <c r="D117" s="25" t="s">
        <v>222</v>
      </c>
    </row>
    <row r="118" spans="4:4" x14ac:dyDescent="0.35">
      <c r="D118" s="25" t="s">
        <v>223</v>
      </c>
    </row>
    <row r="119" spans="4:4" x14ac:dyDescent="0.35">
      <c r="D119" s="25" t="s">
        <v>224</v>
      </c>
    </row>
    <row r="120" spans="4:4" x14ac:dyDescent="0.35">
      <c r="D120" s="25" t="s">
        <v>225</v>
      </c>
    </row>
    <row r="121" spans="4:4" x14ac:dyDescent="0.35">
      <c r="D121" s="25" t="s">
        <v>106</v>
      </c>
    </row>
    <row r="122" spans="4:4" x14ac:dyDescent="0.35">
      <c r="D122" s="25" t="s">
        <v>226</v>
      </c>
    </row>
    <row r="123" spans="4:4" x14ac:dyDescent="0.35">
      <c r="D123" s="25" t="s">
        <v>227</v>
      </c>
    </row>
    <row r="124" spans="4:4" x14ac:dyDescent="0.35">
      <c r="D124" s="25" t="s">
        <v>228</v>
      </c>
    </row>
    <row r="125" spans="4:4" x14ac:dyDescent="0.35">
      <c r="D125"/>
    </row>
    <row r="126" spans="4:4" x14ac:dyDescent="0.35">
      <c r="D126"/>
    </row>
    <row r="127" spans="4:4" x14ac:dyDescent="0.35">
      <c r="D127"/>
    </row>
    <row r="128" spans="4:4" x14ac:dyDescent="0.35">
      <c r="D128"/>
    </row>
    <row r="129" spans="4:4" x14ac:dyDescent="0.35">
      <c r="D129"/>
    </row>
    <row r="130" spans="4:4" x14ac:dyDescent="0.35">
      <c r="D130"/>
    </row>
    <row r="131" spans="4:4" x14ac:dyDescent="0.35">
      <c r="D131"/>
    </row>
    <row r="132" spans="4:4" x14ac:dyDescent="0.35">
      <c r="D132"/>
    </row>
    <row r="133" spans="4:4" x14ac:dyDescent="0.35">
      <c r="D133"/>
    </row>
    <row r="134" spans="4:4" x14ac:dyDescent="0.35">
      <c r="D134"/>
    </row>
    <row r="135" spans="4:4" x14ac:dyDescent="0.35">
      <c r="D135"/>
    </row>
    <row r="136" spans="4:4" x14ac:dyDescent="0.35">
      <c r="D136"/>
    </row>
    <row r="137" spans="4:4" x14ac:dyDescent="0.35">
      <c r="D137"/>
    </row>
    <row r="138" spans="4:4" x14ac:dyDescent="0.35">
      <c r="D138"/>
    </row>
    <row r="139" spans="4:4" x14ac:dyDescent="0.35">
      <c r="D139"/>
    </row>
    <row r="140" spans="4:4" x14ac:dyDescent="0.35">
      <c r="D140"/>
    </row>
    <row r="141" spans="4:4" x14ac:dyDescent="0.35">
      <c r="D141"/>
    </row>
    <row r="142" spans="4:4" x14ac:dyDescent="0.35">
      <c r="D142"/>
    </row>
    <row r="143" spans="4:4" x14ac:dyDescent="0.35">
      <c r="D143"/>
    </row>
    <row r="144" spans="4:4" x14ac:dyDescent="0.35">
      <c r="D144"/>
    </row>
    <row r="145" spans="4:4" x14ac:dyDescent="0.35">
      <c r="D145"/>
    </row>
    <row r="146" spans="4:4" x14ac:dyDescent="0.35">
      <c r="D146"/>
    </row>
    <row r="147" spans="4:4" x14ac:dyDescent="0.35">
      <c r="D147"/>
    </row>
    <row r="148" spans="4:4" x14ac:dyDescent="0.35">
      <c r="D148"/>
    </row>
    <row r="149" spans="4:4" x14ac:dyDescent="0.35">
      <c r="D149"/>
    </row>
    <row r="150" spans="4:4" x14ac:dyDescent="0.35">
      <c r="D150"/>
    </row>
    <row r="151" spans="4:4" x14ac:dyDescent="0.35">
      <c r="D151"/>
    </row>
    <row r="152" spans="4:4" x14ac:dyDescent="0.35">
      <c r="D152"/>
    </row>
    <row r="153" spans="4:4" x14ac:dyDescent="0.35">
      <c r="D153"/>
    </row>
    <row r="154" spans="4:4" x14ac:dyDescent="0.35">
      <c r="D154"/>
    </row>
    <row r="155" spans="4:4" x14ac:dyDescent="0.35">
      <c r="D155"/>
    </row>
    <row r="156" spans="4:4" x14ac:dyDescent="0.35">
      <c r="D156"/>
    </row>
    <row r="157" spans="4:4" x14ac:dyDescent="0.35">
      <c r="D157"/>
    </row>
    <row r="158" spans="4:4" x14ac:dyDescent="0.35">
      <c r="D158"/>
    </row>
    <row r="159" spans="4:4" x14ac:dyDescent="0.35">
      <c r="D159"/>
    </row>
    <row r="160" spans="4:4" x14ac:dyDescent="0.35">
      <c r="D160"/>
    </row>
    <row r="161" spans="4:4" x14ac:dyDescent="0.35">
      <c r="D161"/>
    </row>
    <row r="162" spans="4:4" x14ac:dyDescent="0.35">
      <c r="D162"/>
    </row>
    <row r="163" spans="4:4" x14ac:dyDescent="0.35">
      <c r="D163"/>
    </row>
    <row r="164" spans="4:4" x14ac:dyDescent="0.35">
      <c r="D164"/>
    </row>
    <row r="165" spans="4:4" x14ac:dyDescent="0.35">
      <c r="D165"/>
    </row>
    <row r="166" spans="4:4" x14ac:dyDescent="0.35">
      <c r="D166"/>
    </row>
    <row r="167" spans="4:4" x14ac:dyDescent="0.35">
      <c r="D167"/>
    </row>
    <row r="168" spans="4:4" x14ac:dyDescent="0.35">
      <c r="D168"/>
    </row>
    <row r="169" spans="4:4" x14ac:dyDescent="0.35">
      <c r="D169"/>
    </row>
    <row r="170" spans="4:4" x14ac:dyDescent="0.35">
      <c r="D170"/>
    </row>
    <row r="171" spans="4:4" x14ac:dyDescent="0.35">
      <c r="D171"/>
    </row>
    <row r="172" spans="4:4" x14ac:dyDescent="0.35">
      <c r="D172"/>
    </row>
    <row r="173" spans="4:4" x14ac:dyDescent="0.35">
      <c r="D173"/>
    </row>
    <row r="174" spans="4:4" x14ac:dyDescent="0.35">
      <c r="D174"/>
    </row>
    <row r="175" spans="4:4" x14ac:dyDescent="0.35">
      <c r="D175"/>
    </row>
    <row r="176" spans="4:4" x14ac:dyDescent="0.35">
      <c r="D176"/>
    </row>
    <row r="177" spans="4:4" x14ac:dyDescent="0.35">
      <c r="D177"/>
    </row>
    <row r="178" spans="4:4" x14ac:dyDescent="0.35">
      <c r="D178"/>
    </row>
    <row r="179" spans="4:4" x14ac:dyDescent="0.35">
      <c r="D179"/>
    </row>
    <row r="180" spans="4:4" x14ac:dyDescent="0.35">
      <c r="D180"/>
    </row>
    <row r="181" spans="4:4" x14ac:dyDescent="0.35">
      <c r="D181"/>
    </row>
    <row r="182" spans="4:4" x14ac:dyDescent="0.35">
      <c r="D182"/>
    </row>
    <row r="183" spans="4:4" x14ac:dyDescent="0.35">
      <c r="D183"/>
    </row>
    <row r="184" spans="4:4" x14ac:dyDescent="0.35">
      <c r="D184"/>
    </row>
    <row r="185" spans="4:4" x14ac:dyDescent="0.35">
      <c r="D185"/>
    </row>
    <row r="186" spans="4:4" x14ac:dyDescent="0.35">
      <c r="D186"/>
    </row>
    <row r="187" spans="4:4" x14ac:dyDescent="0.35">
      <c r="D187"/>
    </row>
    <row r="188" spans="4:4" x14ac:dyDescent="0.35">
      <c r="D188"/>
    </row>
    <row r="189" spans="4:4" x14ac:dyDescent="0.35">
      <c r="D189"/>
    </row>
    <row r="190" spans="4:4" x14ac:dyDescent="0.35">
      <c r="D190"/>
    </row>
    <row r="191" spans="4:4" x14ac:dyDescent="0.35">
      <c r="D191"/>
    </row>
    <row r="192" spans="4:4" x14ac:dyDescent="0.35">
      <c r="D192"/>
    </row>
    <row r="193" spans="4:4" x14ac:dyDescent="0.35">
      <c r="D193"/>
    </row>
    <row r="194" spans="4:4" x14ac:dyDescent="0.35">
      <c r="D194"/>
    </row>
    <row r="195" spans="4:4" x14ac:dyDescent="0.35">
      <c r="D195"/>
    </row>
    <row r="196" spans="4:4" x14ac:dyDescent="0.35">
      <c r="D196"/>
    </row>
    <row r="197" spans="4:4" x14ac:dyDescent="0.35">
      <c r="D197"/>
    </row>
    <row r="198" spans="4:4" x14ac:dyDescent="0.35">
      <c r="D198"/>
    </row>
    <row r="199" spans="4:4" x14ac:dyDescent="0.35">
      <c r="D199"/>
    </row>
    <row r="200" spans="4:4" x14ac:dyDescent="0.35">
      <c r="D200"/>
    </row>
    <row r="201" spans="4:4" x14ac:dyDescent="0.35">
      <c r="D201"/>
    </row>
    <row r="202" spans="4:4" x14ac:dyDescent="0.35">
      <c r="D202"/>
    </row>
    <row r="203" spans="4:4" x14ac:dyDescent="0.35">
      <c r="D203"/>
    </row>
    <row r="204" spans="4:4" x14ac:dyDescent="0.35">
      <c r="D204"/>
    </row>
    <row r="205" spans="4:4" x14ac:dyDescent="0.35">
      <c r="D205"/>
    </row>
    <row r="206" spans="4:4" x14ac:dyDescent="0.35">
      <c r="D206"/>
    </row>
    <row r="207" spans="4:4" x14ac:dyDescent="0.35">
      <c r="D207"/>
    </row>
    <row r="208" spans="4:4" x14ac:dyDescent="0.35">
      <c r="D208"/>
    </row>
    <row r="209" spans="4:4" x14ac:dyDescent="0.35">
      <c r="D209"/>
    </row>
    <row r="210" spans="4:4" x14ac:dyDescent="0.35">
      <c r="D210"/>
    </row>
    <row r="211" spans="4:4" x14ac:dyDescent="0.35">
      <c r="D211"/>
    </row>
    <row r="212" spans="4:4" x14ac:dyDescent="0.35">
      <c r="D212"/>
    </row>
    <row r="213" spans="4:4" x14ac:dyDescent="0.35">
      <c r="D213"/>
    </row>
    <row r="214" spans="4:4" x14ac:dyDescent="0.35">
      <c r="D214"/>
    </row>
    <row r="215" spans="4:4" x14ac:dyDescent="0.35">
      <c r="D215"/>
    </row>
    <row r="216" spans="4:4" x14ac:dyDescent="0.35">
      <c r="D216"/>
    </row>
    <row r="217" spans="4:4" x14ac:dyDescent="0.35">
      <c r="D217"/>
    </row>
    <row r="218" spans="4:4" x14ac:dyDescent="0.35">
      <c r="D218"/>
    </row>
    <row r="219" spans="4:4" x14ac:dyDescent="0.35">
      <c r="D219"/>
    </row>
    <row r="220" spans="4:4" x14ac:dyDescent="0.35">
      <c r="D220"/>
    </row>
    <row r="221" spans="4:4" x14ac:dyDescent="0.35">
      <c r="D221"/>
    </row>
    <row r="222" spans="4:4" x14ac:dyDescent="0.35">
      <c r="D222"/>
    </row>
    <row r="223" spans="4:4" x14ac:dyDescent="0.35">
      <c r="D223"/>
    </row>
    <row r="224" spans="4:4" x14ac:dyDescent="0.35">
      <c r="D224"/>
    </row>
    <row r="225" spans="4:4" x14ac:dyDescent="0.35">
      <c r="D225"/>
    </row>
    <row r="226" spans="4:4" x14ac:dyDescent="0.35">
      <c r="D226"/>
    </row>
    <row r="227" spans="4:4" x14ac:dyDescent="0.35">
      <c r="D227"/>
    </row>
    <row r="228" spans="4:4" x14ac:dyDescent="0.35">
      <c r="D228"/>
    </row>
    <row r="229" spans="4:4" x14ac:dyDescent="0.35">
      <c r="D229"/>
    </row>
    <row r="230" spans="4:4" x14ac:dyDescent="0.35">
      <c r="D230"/>
    </row>
    <row r="231" spans="4:4" x14ac:dyDescent="0.35">
      <c r="D231"/>
    </row>
    <row r="232" spans="4:4" x14ac:dyDescent="0.35">
      <c r="D232"/>
    </row>
    <row r="233" spans="4:4" x14ac:dyDescent="0.35">
      <c r="D233"/>
    </row>
    <row r="234" spans="4:4" x14ac:dyDescent="0.35">
      <c r="D234"/>
    </row>
    <row r="235" spans="4:4" x14ac:dyDescent="0.35">
      <c r="D235"/>
    </row>
    <row r="236" spans="4:4" x14ac:dyDescent="0.35">
      <c r="D236"/>
    </row>
    <row r="237" spans="4:4" x14ac:dyDescent="0.35">
      <c r="D237"/>
    </row>
    <row r="238" spans="4:4" x14ac:dyDescent="0.35">
      <c r="D238"/>
    </row>
    <row r="239" spans="4:4" x14ac:dyDescent="0.35">
      <c r="D239"/>
    </row>
    <row r="240" spans="4:4" x14ac:dyDescent="0.35">
      <c r="D240"/>
    </row>
    <row r="241" spans="4:4" x14ac:dyDescent="0.35">
      <c r="D241"/>
    </row>
    <row r="242" spans="4:4" x14ac:dyDescent="0.35">
      <c r="D242"/>
    </row>
    <row r="243" spans="4:4" x14ac:dyDescent="0.35">
      <c r="D243"/>
    </row>
    <row r="244" spans="4:4" x14ac:dyDescent="0.35">
      <c r="D244"/>
    </row>
    <row r="245" spans="4:4" x14ac:dyDescent="0.35">
      <c r="D245"/>
    </row>
    <row r="246" spans="4:4" x14ac:dyDescent="0.35">
      <c r="D246"/>
    </row>
    <row r="247" spans="4:4" x14ac:dyDescent="0.35">
      <c r="D247"/>
    </row>
    <row r="248" spans="4:4" x14ac:dyDescent="0.35">
      <c r="D248"/>
    </row>
    <row r="249" spans="4:4" x14ac:dyDescent="0.35">
      <c r="D249"/>
    </row>
    <row r="250" spans="4:4" x14ac:dyDescent="0.35">
      <c r="D250"/>
    </row>
    <row r="251" spans="4:4" x14ac:dyDescent="0.35">
      <c r="D251"/>
    </row>
    <row r="252" spans="4:4" x14ac:dyDescent="0.35">
      <c r="D252"/>
    </row>
    <row r="253" spans="4:4" x14ac:dyDescent="0.35">
      <c r="D253"/>
    </row>
    <row r="254" spans="4:4" x14ac:dyDescent="0.35">
      <c r="D254"/>
    </row>
    <row r="255" spans="4:4" x14ac:dyDescent="0.35">
      <c r="D255"/>
    </row>
    <row r="256" spans="4:4" x14ac:dyDescent="0.35">
      <c r="D256"/>
    </row>
    <row r="257" spans="4:4" x14ac:dyDescent="0.35">
      <c r="D257"/>
    </row>
    <row r="258" spans="4:4" x14ac:dyDescent="0.35">
      <c r="D258"/>
    </row>
    <row r="259" spans="4:4" x14ac:dyDescent="0.35">
      <c r="D259"/>
    </row>
    <row r="260" spans="4:4" x14ac:dyDescent="0.35">
      <c r="D260"/>
    </row>
    <row r="261" spans="4:4" x14ac:dyDescent="0.35">
      <c r="D261"/>
    </row>
    <row r="262" spans="4:4" x14ac:dyDescent="0.35">
      <c r="D262"/>
    </row>
    <row r="263" spans="4:4" x14ac:dyDescent="0.35">
      <c r="D263"/>
    </row>
    <row r="264" spans="4:4" x14ac:dyDescent="0.35">
      <c r="D264"/>
    </row>
    <row r="265" spans="4:4" x14ac:dyDescent="0.35">
      <c r="D265"/>
    </row>
    <row r="266" spans="4:4" x14ac:dyDescent="0.35">
      <c r="D266"/>
    </row>
    <row r="267" spans="4:4" x14ac:dyDescent="0.35">
      <c r="D267"/>
    </row>
    <row r="268" spans="4:4" x14ac:dyDescent="0.35">
      <c r="D268"/>
    </row>
    <row r="269" spans="4:4" x14ac:dyDescent="0.35">
      <c r="D269"/>
    </row>
    <row r="270" spans="4:4" x14ac:dyDescent="0.35">
      <c r="D270"/>
    </row>
    <row r="271" spans="4:4" x14ac:dyDescent="0.35">
      <c r="D271"/>
    </row>
    <row r="272" spans="4:4" x14ac:dyDescent="0.35">
      <c r="D272"/>
    </row>
    <row r="273" spans="4:4" x14ac:dyDescent="0.35">
      <c r="D273"/>
    </row>
    <row r="274" spans="4:4" x14ac:dyDescent="0.35">
      <c r="D274"/>
    </row>
    <row r="275" spans="4:4" x14ac:dyDescent="0.35">
      <c r="D275"/>
    </row>
    <row r="276" spans="4:4" x14ac:dyDescent="0.35">
      <c r="D276"/>
    </row>
    <row r="277" spans="4:4" x14ac:dyDescent="0.35">
      <c r="D277"/>
    </row>
    <row r="278" spans="4:4" x14ac:dyDescent="0.35">
      <c r="D278"/>
    </row>
    <row r="279" spans="4:4" x14ac:dyDescent="0.35">
      <c r="D279"/>
    </row>
    <row r="280" spans="4:4" x14ac:dyDescent="0.35">
      <c r="D280"/>
    </row>
    <row r="281" spans="4:4" x14ac:dyDescent="0.35">
      <c r="D281"/>
    </row>
    <row r="282" spans="4:4" x14ac:dyDescent="0.35">
      <c r="D282"/>
    </row>
    <row r="283" spans="4:4" x14ac:dyDescent="0.35">
      <c r="D283"/>
    </row>
    <row r="284" spans="4:4" x14ac:dyDescent="0.35">
      <c r="D284"/>
    </row>
    <row r="285" spans="4:4" x14ac:dyDescent="0.35">
      <c r="D285"/>
    </row>
    <row r="286" spans="4:4" x14ac:dyDescent="0.35">
      <c r="D286"/>
    </row>
    <row r="287" spans="4:4" x14ac:dyDescent="0.35">
      <c r="D287"/>
    </row>
    <row r="288" spans="4:4" x14ac:dyDescent="0.35">
      <c r="D288"/>
    </row>
    <row r="289" spans="4:4" x14ac:dyDescent="0.35">
      <c r="D289"/>
    </row>
    <row r="290" spans="4:4" x14ac:dyDescent="0.35">
      <c r="D290"/>
    </row>
    <row r="291" spans="4:4" x14ac:dyDescent="0.35">
      <c r="D291"/>
    </row>
    <row r="292" spans="4:4" x14ac:dyDescent="0.35">
      <c r="D292"/>
    </row>
    <row r="293" spans="4:4" x14ac:dyDescent="0.35">
      <c r="D293"/>
    </row>
    <row r="294" spans="4:4" x14ac:dyDescent="0.35">
      <c r="D294"/>
    </row>
    <row r="295" spans="4:4" x14ac:dyDescent="0.35">
      <c r="D295"/>
    </row>
    <row r="296" spans="4:4" x14ac:dyDescent="0.35">
      <c r="D296"/>
    </row>
    <row r="297" spans="4:4" x14ac:dyDescent="0.35">
      <c r="D297"/>
    </row>
    <row r="298" spans="4:4" x14ac:dyDescent="0.35">
      <c r="D298"/>
    </row>
    <row r="299" spans="4:4" x14ac:dyDescent="0.35">
      <c r="D299"/>
    </row>
    <row r="300" spans="4:4" x14ac:dyDescent="0.35">
      <c r="D300"/>
    </row>
    <row r="301" spans="4:4" x14ac:dyDescent="0.35">
      <c r="D301"/>
    </row>
    <row r="302" spans="4:4" x14ac:dyDescent="0.35">
      <c r="D302"/>
    </row>
    <row r="303" spans="4:4" x14ac:dyDescent="0.35">
      <c r="D303"/>
    </row>
    <row r="304" spans="4:4" x14ac:dyDescent="0.35">
      <c r="D304"/>
    </row>
    <row r="305" spans="4:4" x14ac:dyDescent="0.35">
      <c r="D305"/>
    </row>
    <row r="306" spans="4:4" x14ac:dyDescent="0.35">
      <c r="D306"/>
    </row>
    <row r="307" spans="4:4" x14ac:dyDescent="0.35">
      <c r="D307"/>
    </row>
    <row r="308" spans="4:4" x14ac:dyDescent="0.35">
      <c r="D308"/>
    </row>
    <row r="309" spans="4:4" x14ac:dyDescent="0.35">
      <c r="D309"/>
    </row>
    <row r="310" spans="4:4" x14ac:dyDescent="0.35">
      <c r="D310"/>
    </row>
    <row r="311" spans="4:4" x14ac:dyDescent="0.35">
      <c r="D311"/>
    </row>
    <row r="312" spans="4:4" x14ac:dyDescent="0.35">
      <c r="D312"/>
    </row>
    <row r="313" spans="4:4" x14ac:dyDescent="0.35">
      <c r="D313"/>
    </row>
    <row r="314" spans="4:4" x14ac:dyDescent="0.35">
      <c r="D314"/>
    </row>
    <row r="315" spans="4:4" x14ac:dyDescent="0.35">
      <c r="D315"/>
    </row>
    <row r="316" spans="4:4" x14ac:dyDescent="0.35">
      <c r="D316"/>
    </row>
    <row r="317" spans="4:4" x14ac:dyDescent="0.35">
      <c r="D317"/>
    </row>
    <row r="318" spans="4:4" x14ac:dyDescent="0.35">
      <c r="D318"/>
    </row>
    <row r="319" spans="4:4" x14ac:dyDescent="0.35">
      <c r="D319"/>
    </row>
    <row r="320" spans="4:4" x14ac:dyDescent="0.35">
      <c r="D320"/>
    </row>
    <row r="321" spans="4:4" x14ac:dyDescent="0.35">
      <c r="D321"/>
    </row>
    <row r="322" spans="4:4" x14ac:dyDescent="0.35">
      <c r="D322"/>
    </row>
    <row r="323" spans="4:4" x14ac:dyDescent="0.35">
      <c r="D323"/>
    </row>
    <row r="324" spans="4:4" x14ac:dyDescent="0.35">
      <c r="D324"/>
    </row>
    <row r="325" spans="4:4" x14ac:dyDescent="0.35">
      <c r="D325"/>
    </row>
    <row r="326" spans="4:4" x14ac:dyDescent="0.35">
      <c r="D326"/>
    </row>
    <row r="327" spans="4:4" x14ac:dyDescent="0.35">
      <c r="D327"/>
    </row>
    <row r="328" spans="4:4" x14ac:dyDescent="0.35">
      <c r="D328"/>
    </row>
    <row r="329" spans="4:4" x14ac:dyDescent="0.35">
      <c r="D329"/>
    </row>
    <row r="330" spans="4:4" x14ac:dyDescent="0.35">
      <c r="D330"/>
    </row>
    <row r="331" spans="4:4" x14ac:dyDescent="0.35">
      <c r="D331"/>
    </row>
    <row r="332" spans="4:4" x14ac:dyDescent="0.35">
      <c r="D332"/>
    </row>
    <row r="333" spans="4:4" x14ac:dyDescent="0.35">
      <c r="D333"/>
    </row>
    <row r="334" spans="4:4" x14ac:dyDescent="0.35">
      <c r="D334"/>
    </row>
    <row r="335" spans="4:4" x14ac:dyDescent="0.35">
      <c r="D335"/>
    </row>
    <row r="336" spans="4:4" x14ac:dyDescent="0.35">
      <c r="D336"/>
    </row>
    <row r="337" spans="4:4" x14ac:dyDescent="0.35">
      <c r="D337"/>
    </row>
    <row r="338" spans="4:4" x14ac:dyDescent="0.35">
      <c r="D338"/>
    </row>
    <row r="339" spans="4:4" x14ac:dyDescent="0.35">
      <c r="D339"/>
    </row>
    <row r="340" spans="4:4" x14ac:dyDescent="0.35">
      <c r="D340"/>
    </row>
    <row r="341" spans="4:4" x14ac:dyDescent="0.35">
      <c r="D341"/>
    </row>
    <row r="342" spans="4:4" x14ac:dyDescent="0.35">
      <c r="D342"/>
    </row>
    <row r="343" spans="4:4" x14ac:dyDescent="0.35">
      <c r="D343"/>
    </row>
    <row r="344" spans="4:4" x14ac:dyDescent="0.35">
      <c r="D344"/>
    </row>
    <row r="345" spans="4:4" x14ac:dyDescent="0.35">
      <c r="D345"/>
    </row>
    <row r="346" spans="4:4" x14ac:dyDescent="0.35">
      <c r="D346"/>
    </row>
    <row r="347" spans="4:4" x14ac:dyDescent="0.35">
      <c r="D347"/>
    </row>
    <row r="348" spans="4:4" x14ac:dyDescent="0.35">
      <c r="D348"/>
    </row>
    <row r="349" spans="4:4" x14ac:dyDescent="0.35">
      <c r="D349"/>
    </row>
    <row r="350" spans="4:4" x14ac:dyDescent="0.35">
      <c r="D350"/>
    </row>
    <row r="351" spans="4:4" x14ac:dyDescent="0.35">
      <c r="D351"/>
    </row>
    <row r="352" spans="4:4" x14ac:dyDescent="0.35">
      <c r="D352"/>
    </row>
    <row r="353" spans="4:4" x14ac:dyDescent="0.35">
      <c r="D353"/>
    </row>
    <row r="354" spans="4:4" x14ac:dyDescent="0.35">
      <c r="D354"/>
    </row>
    <row r="355" spans="4:4" x14ac:dyDescent="0.35">
      <c r="D355"/>
    </row>
    <row r="356" spans="4:4" x14ac:dyDescent="0.35">
      <c r="D356"/>
    </row>
    <row r="357" spans="4:4" x14ac:dyDescent="0.35">
      <c r="D357"/>
    </row>
    <row r="358" spans="4:4" x14ac:dyDescent="0.35">
      <c r="D358"/>
    </row>
    <row r="359" spans="4:4" x14ac:dyDescent="0.35">
      <c r="D359"/>
    </row>
    <row r="360" spans="4:4" x14ac:dyDescent="0.35">
      <c r="D360"/>
    </row>
    <row r="361" spans="4:4" x14ac:dyDescent="0.35">
      <c r="D361"/>
    </row>
    <row r="362" spans="4:4" x14ac:dyDescent="0.35">
      <c r="D362"/>
    </row>
    <row r="363" spans="4:4" x14ac:dyDescent="0.35">
      <c r="D363"/>
    </row>
    <row r="364" spans="4:4" x14ac:dyDescent="0.35">
      <c r="D364"/>
    </row>
    <row r="365" spans="4:4" x14ac:dyDescent="0.35">
      <c r="D365"/>
    </row>
    <row r="366" spans="4:4" x14ac:dyDescent="0.35">
      <c r="D366"/>
    </row>
    <row r="367" spans="4:4" x14ac:dyDescent="0.35">
      <c r="D367"/>
    </row>
    <row r="368" spans="4:4" x14ac:dyDescent="0.35">
      <c r="D368"/>
    </row>
    <row r="369" spans="4:4" x14ac:dyDescent="0.35">
      <c r="D369"/>
    </row>
    <row r="370" spans="4:4" x14ac:dyDescent="0.35">
      <c r="D370"/>
    </row>
    <row r="371" spans="4:4" x14ac:dyDescent="0.35">
      <c r="D371"/>
    </row>
    <row r="372" spans="4:4" x14ac:dyDescent="0.35">
      <c r="D372"/>
    </row>
    <row r="373" spans="4:4" x14ac:dyDescent="0.35">
      <c r="D373"/>
    </row>
    <row r="374" spans="4:4" x14ac:dyDescent="0.35">
      <c r="D374"/>
    </row>
    <row r="375" spans="4:4" x14ac:dyDescent="0.35">
      <c r="D375"/>
    </row>
    <row r="376" spans="4:4" x14ac:dyDescent="0.35">
      <c r="D376"/>
    </row>
    <row r="377" spans="4:4" x14ac:dyDescent="0.35">
      <c r="D377"/>
    </row>
    <row r="378" spans="4:4" x14ac:dyDescent="0.35">
      <c r="D378"/>
    </row>
    <row r="379" spans="4:4" x14ac:dyDescent="0.35">
      <c r="D379"/>
    </row>
    <row r="380" spans="4:4" x14ac:dyDescent="0.35">
      <c r="D380"/>
    </row>
    <row r="381" spans="4:4" x14ac:dyDescent="0.35">
      <c r="D381"/>
    </row>
    <row r="382" spans="4:4" x14ac:dyDescent="0.35">
      <c r="D382"/>
    </row>
    <row r="383" spans="4:4" x14ac:dyDescent="0.35">
      <c r="D383"/>
    </row>
    <row r="384" spans="4:4" x14ac:dyDescent="0.35">
      <c r="D384"/>
    </row>
    <row r="385" spans="4:4" x14ac:dyDescent="0.35">
      <c r="D385"/>
    </row>
    <row r="386" spans="4:4" x14ac:dyDescent="0.35">
      <c r="D386"/>
    </row>
    <row r="387" spans="4:4" x14ac:dyDescent="0.35">
      <c r="D387"/>
    </row>
    <row r="388" spans="4:4" x14ac:dyDescent="0.35">
      <c r="D388"/>
    </row>
    <row r="389" spans="4:4" x14ac:dyDescent="0.35">
      <c r="D389"/>
    </row>
    <row r="390" spans="4:4" x14ac:dyDescent="0.35">
      <c r="D390"/>
    </row>
    <row r="391" spans="4:4" x14ac:dyDescent="0.35">
      <c r="D391"/>
    </row>
    <row r="392" spans="4:4" x14ac:dyDescent="0.35">
      <c r="D392"/>
    </row>
    <row r="393" spans="4:4" x14ac:dyDescent="0.35">
      <c r="D393"/>
    </row>
    <row r="394" spans="4:4" x14ac:dyDescent="0.35">
      <c r="D394"/>
    </row>
    <row r="395" spans="4:4" x14ac:dyDescent="0.35">
      <c r="D395"/>
    </row>
    <row r="396" spans="4:4" x14ac:dyDescent="0.35">
      <c r="D396"/>
    </row>
    <row r="397" spans="4:4" x14ac:dyDescent="0.35">
      <c r="D397"/>
    </row>
    <row r="398" spans="4:4" x14ac:dyDescent="0.35">
      <c r="D398"/>
    </row>
    <row r="399" spans="4:4" x14ac:dyDescent="0.35">
      <c r="D399"/>
    </row>
    <row r="400" spans="4:4" x14ac:dyDescent="0.35">
      <c r="D400"/>
    </row>
    <row r="401" spans="4:4" x14ac:dyDescent="0.35">
      <c r="D401"/>
    </row>
    <row r="402" spans="4:4" x14ac:dyDescent="0.35">
      <c r="D402"/>
    </row>
    <row r="403" spans="4:4" x14ac:dyDescent="0.35">
      <c r="D403"/>
    </row>
    <row r="404" spans="4:4" x14ac:dyDescent="0.35">
      <c r="D404"/>
    </row>
    <row r="405" spans="4:4" x14ac:dyDescent="0.35">
      <c r="D405"/>
    </row>
    <row r="406" spans="4:4" x14ac:dyDescent="0.35">
      <c r="D406"/>
    </row>
    <row r="407" spans="4:4" x14ac:dyDescent="0.35">
      <c r="D407"/>
    </row>
    <row r="408" spans="4:4" x14ac:dyDescent="0.35">
      <c r="D408"/>
    </row>
    <row r="409" spans="4:4" x14ac:dyDescent="0.35">
      <c r="D409"/>
    </row>
    <row r="410" spans="4:4" x14ac:dyDescent="0.35">
      <c r="D410"/>
    </row>
    <row r="411" spans="4:4" x14ac:dyDescent="0.35">
      <c r="D411"/>
    </row>
    <row r="412" spans="4:4" x14ac:dyDescent="0.35">
      <c r="D412"/>
    </row>
    <row r="413" spans="4:4" x14ac:dyDescent="0.35">
      <c r="D413"/>
    </row>
    <row r="414" spans="4:4" x14ac:dyDescent="0.35">
      <c r="D414"/>
    </row>
    <row r="415" spans="4:4" x14ac:dyDescent="0.35">
      <c r="D415"/>
    </row>
    <row r="416" spans="4:4" x14ac:dyDescent="0.35">
      <c r="D416"/>
    </row>
    <row r="417" spans="4:4" x14ac:dyDescent="0.35">
      <c r="D417"/>
    </row>
    <row r="418" spans="4:4" x14ac:dyDescent="0.35">
      <c r="D418"/>
    </row>
    <row r="419" spans="4:4" x14ac:dyDescent="0.35">
      <c r="D419"/>
    </row>
    <row r="420" spans="4:4" x14ac:dyDescent="0.35">
      <c r="D420"/>
    </row>
    <row r="421" spans="4:4" x14ac:dyDescent="0.35">
      <c r="D421"/>
    </row>
    <row r="422" spans="4:4" x14ac:dyDescent="0.35">
      <c r="D422"/>
    </row>
    <row r="423" spans="4:4" x14ac:dyDescent="0.35">
      <c r="D423"/>
    </row>
    <row r="424" spans="4:4" x14ac:dyDescent="0.35">
      <c r="D424"/>
    </row>
    <row r="425" spans="4:4" x14ac:dyDescent="0.35">
      <c r="D425"/>
    </row>
    <row r="426" spans="4:4" x14ac:dyDescent="0.35">
      <c r="D426"/>
    </row>
    <row r="427" spans="4:4" x14ac:dyDescent="0.35">
      <c r="D427"/>
    </row>
    <row r="428" spans="4:4" x14ac:dyDescent="0.35">
      <c r="D428"/>
    </row>
    <row r="429" spans="4:4" x14ac:dyDescent="0.35">
      <c r="D429"/>
    </row>
    <row r="430" spans="4:4" x14ac:dyDescent="0.35">
      <c r="D430"/>
    </row>
    <row r="431" spans="4:4" x14ac:dyDescent="0.35">
      <c r="D431"/>
    </row>
    <row r="432" spans="4:4" x14ac:dyDescent="0.35">
      <c r="D432"/>
    </row>
    <row r="433" spans="4:4" x14ac:dyDescent="0.35">
      <c r="D433"/>
    </row>
    <row r="434" spans="4:4" x14ac:dyDescent="0.35">
      <c r="D434"/>
    </row>
    <row r="435" spans="4:4" x14ac:dyDescent="0.35">
      <c r="D435"/>
    </row>
    <row r="436" spans="4:4" x14ac:dyDescent="0.35">
      <c r="D436"/>
    </row>
    <row r="437" spans="4:4" x14ac:dyDescent="0.35">
      <c r="D437"/>
    </row>
    <row r="438" spans="4:4" x14ac:dyDescent="0.35">
      <c r="D438"/>
    </row>
    <row r="439" spans="4:4" x14ac:dyDescent="0.35">
      <c r="D439"/>
    </row>
    <row r="440" spans="4:4" x14ac:dyDescent="0.35">
      <c r="D440"/>
    </row>
    <row r="441" spans="4:4" x14ac:dyDescent="0.35">
      <c r="D441"/>
    </row>
    <row r="442" spans="4:4" x14ac:dyDescent="0.35">
      <c r="D442"/>
    </row>
    <row r="443" spans="4:4" x14ac:dyDescent="0.35">
      <c r="D443"/>
    </row>
    <row r="444" spans="4:4" x14ac:dyDescent="0.35">
      <c r="D444"/>
    </row>
    <row r="445" spans="4:4" x14ac:dyDescent="0.35">
      <c r="D445"/>
    </row>
    <row r="446" spans="4:4" x14ac:dyDescent="0.35">
      <c r="D446"/>
    </row>
    <row r="447" spans="4:4" x14ac:dyDescent="0.35">
      <c r="D447"/>
    </row>
    <row r="448" spans="4:4" x14ac:dyDescent="0.35">
      <c r="D448"/>
    </row>
    <row r="449" spans="4:4" x14ac:dyDescent="0.35">
      <c r="D449"/>
    </row>
    <row r="450" spans="4:4" x14ac:dyDescent="0.35">
      <c r="D450"/>
    </row>
    <row r="451" spans="4:4" x14ac:dyDescent="0.35">
      <c r="D451"/>
    </row>
    <row r="452" spans="4:4" x14ac:dyDescent="0.35">
      <c r="D452"/>
    </row>
    <row r="453" spans="4:4" x14ac:dyDescent="0.35">
      <c r="D453"/>
    </row>
    <row r="454" spans="4:4" x14ac:dyDescent="0.35">
      <c r="D454"/>
    </row>
    <row r="455" spans="4:4" x14ac:dyDescent="0.35">
      <c r="D455"/>
    </row>
    <row r="456" spans="4:4" x14ac:dyDescent="0.35">
      <c r="D456"/>
    </row>
    <row r="457" spans="4:4" x14ac:dyDescent="0.35">
      <c r="D457"/>
    </row>
    <row r="458" spans="4:4" x14ac:dyDescent="0.35">
      <c r="D458"/>
    </row>
    <row r="459" spans="4:4" x14ac:dyDescent="0.35">
      <c r="D459"/>
    </row>
    <row r="460" spans="4:4" x14ac:dyDescent="0.35">
      <c r="D460"/>
    </row>
    <row r="461" spans="4:4" x14ac:dyDescent="0.35">
      <c r="D461"/>
    </row>
    <row r="462" spans="4:4" x14ac:dyDescent="0.35">
      <c r="D462"/>
    </row>
    <row r="463" spans="4:4" x14ac:dyDescent="0.35">
      <c r="D463"/>
    </row>
    <row r="464" spans="4:4" x14ac:dyDescent="0.35">
      <c r="D464"/>
    </row>
    <row r="465" spans="4:4" x14ac:dyDescent="0.35">
      <c r="D465"/>
    </row>
    <row r="466" spans="4:4" x14ac:dyDescent="0.35">
      <c r="D466"/>
    </row>
    <row r="467" spans="4:4" x14ac:dyDescent="0.35">
      <c r="D467"/>
    </row>
    <row r="468" spans="4:4" x14ac:dyDescent="0.35">
      <c r="D468"/>
    </row>
    <row r="469" spans="4:4" x14ac:dyDescent="0.35">
      <c r="D469"/>
    </row>
    <row r="470" spans="4:4" x14ac:dyDescent="0.35">
      <c r="D470"/>
    </row>
    <row r="471" spans="4:4" x14ac:dyDescent="0.35">
      <c r="D471"/>
    </row>
    <row r="472" spans="4:4" x14ac:dyDescent="0.35">
      <c r="D472"/>
    </row>
    <row r="473" spans="4:4" x14ac:dyDescent="0.35">
      <c r="D473"/>
    </row>
    <row r="474" spans="4:4" x14ac:dyDescent="0.35">
      <c r="D474"/>
    </row>
    <row r="475" spans="4:4" x14ac:dyDescent="0.35">
      <c r="D475"/>
    </row>
    <row r="476" spans="4:4" x14ac:dyDescent="0.35">
      <c r="D476"/>
    </row>
    <row r="477" spans="4:4" x14ac:dyDescent="0.35">
      <c r="D477"/>
    </row>
    <row r="478" spans="4:4" x14ac:dyDescent="0.35">
      <c r="D478"/>
    </row>
    <row r="479" spans="4:4" x14ac:dyDescent="0.35">
      <c r="D479"/>
    </row>
    <row r="480" spans="4:4" x14ac:dyDescent="0.35">
      <c r="D480"/>
    </row>
    <row r="481" spans="4:4" x14ac:dyDescent="0.35">
      <c r="D481"/>
    </row>
    <row r="482" spans="4:4" x14ac:dyDescent="0.35">
      <c r="D482"/>
    </row>
    <row r="483" spans="4:4" x14ac:dyDescent="0.35">
      <c r="D483"/>
    </row>
    <row r="484" spans="4:4" x14ac:dyDescent="0.35">
      <c r="D484"/>
    </row>
    <row r="485" spans="4:4" x14ac:dyDescent="0.35">
      <c r="D485"/>
    </row>
    <row r="486" spans="4:4" x14ac:dyDescent="0.35">
      <c r="D486"/>
    </row>
    <row r="487" spans="4:4" x14ac:dyDescent="0.35">
      <c r="D487"/>
    </row>
    <row r="488" spans="4:4" x14ac:dyDescent="0.35">
      <c r="D488"/>
    </row>
    <row r="489" spans="4:4" x14ac:dyDescent="0.35">
      <c r="D489"/>
    </row>
    <row r="490" spans="4:4" x14ac:dyDescent="0.35">
      <c r="D490"/>
    </row>
    <row r="491" spans="4:4" x14ac:dyDescent="0.35">
      <c r="D491"/>
    </row>
    <row r="492" spans="4:4" x14ac:dyDescent="0.35">
      <c r="D492"/>
    </row>
    <row r="493" spans="4:4" x14ac:dyDescent="0.35">
      <c r="D493"/>
    </row>
    <row r="494" spans="4:4" x14ac:dyDescent="0.35">
      <c r="D494"/>
    </row>
    <row r="495" spans="4:4" x14ac:dyDescent="0.35">
      <c r="D495"/>
    </row>
    <row r="496" spans="4:4" x14ac:dyDescent="0.35">
      <c r="D496"/>
    </row>
    <row r="497" spans="4:4" x14ac:dyDescent="0.35">
      <c r="D497"/>
    </row>
    <row r="498" spans="4:4" x14ac:dyDescent="0.35">
      <c r="D498"/>
    </row>
    <row r="499" spans="4:4" x14ac:dyDescent="0.35">
      <c r="D499"/>
    </row>
    <row r="500" spans="4:4" x14ac:dyDescent="0.35">
      <c r="D500"/>
    </row>
    <row r="501" spans="4:4" x14ac:dyDescent="0.35">
      <c r="D501"/>
    </row>
    <row r="502" spans="4:4" x14ac:dyDescent="0.35">
      <c r="D502"/>
    </row>
    <row r="503" spans="4:4" x14ac:dyDescent="0.35">
      <c r="D503"/>
    </row>
    <row r="504" spans="4:4" x14ac:dyDescent="0.35">
      <c r="D504"/>
    </row>
    <row r="505" spans="4:4" x14ac:dyDescent="0.35">
      <c r="D505"/>
    </row>
    <row r="506" spans="4:4" x14ac:dyDescent="0.35">
      <c r="D506"/>
    </row>
    <row r="507" spans="4:4" x14ac:dyDescent="0.35">
      <c r="D507"/>
    </row>
    <row r="508" spans="4:4" x14ac:dyDescent="0.35">
      <c r="D508"/>
    </row>
    <row r="509" spans="4:4" x14ac:dyDescent="0.35">
      <c r="D509"/>
    </row>
    <row r="510" spans="4:4" x14ac:dyDescent="0.35">
      <c r="D510"/>
    </row>
    <row r="511" spans="4:4" x14ac:dyDescent="0.35">
      <c r="D511"/>
    </row>
    <row r="512" spans="4:4" x14ac:dyDescent="0.35">
      <c r="D512"/>
    </row>
    <row r="513" spans="4:4" x14ac:dyDescent="0.35">
      <c r="D513"/>
    </row>
    <row r="514" spans="4:4" x14ac:dyDescent="0.35">
      <c r="D514"/>
    </row>
    <row r="515" spans="4:4" x14ac:dyDescent="0.35">
      <c r="D515"/>
    </row>
    <row r="516" spans="4:4" x14ac:dyDescent="0.35">
      <c r="D516"/>
    </row>
    <row r="517" spans="4:4" x14ac:dyDescent="0.35">
      <c r="D517"/>
    </row>
    <row r="518" spans="4:4" x14ac:dyDescent="0.35">
      <c r="D518"/>
    </row>
    <row r="519" spans="4:4" x14ac:dyDescent="0.35">
      <c r="D519"/>
    </row>
    <row r="520" spans="4:4" x14ac:dyDescent="0.35">
      <c r="D520"/>
    </row>
    <row r="521" spans="4:4" x14ac:dyDescent="0.35">
      <c r="D521"/>
    </row>
    <row r="522" spans="4:4" x14ac:dyDescent="0.35">
      <c r="D522"/>
    </row>
    <row r="523" spans="4:4" x14ac:dyDescent="0.35">
      <c r="D523"/>
    </row>
    <row r="524" spans="4:4" x14ac:dyDescent="0.35">
      <c r="D524"/>
    </row>
    <row r="525" spans="4:4" x14ac:dyDescent="0.35">
      <c r="D525"/>
    </row>
    <row r="526" spans="4:4" x14ac:dyDescent="0.35">
      <c r="D526"/>
    </row>
    <row r="527" spans="4:4" x14ac:dyDescent="0.35">
      <c r="D527"/>
    </row>
    <row r="528" spans="4:4" x14ac:dyDescent="0.35">
      <c r="D528"/>
    </row>
    <row r="529" spans="4:4" x14ac:dyDescent="0.35">
      <c r="D529"/>
    </row>
    <row r="530" spans="4:4" x14ac:dyDescent="0.35">
      <c r="D530"/>
    </row>
    <row r="531" spans="4:4" x14ac:dyDescent="0.35">
      <c r="D531"/>
    </row>
    <row r="532" spans="4:4" x14ac:dyDescent="0.35">
      <c r="D532"/>
    </row>
    <row r="533" spans="4:4" x14ac:dyDescent="0.35">
      <c r="D533"/>
    </row>
    <row r="534" spans="4:4" x14ac:dyDescent="0.35">
      <c r="D534"/>
    </row>
    <row r="535" spans="4:4" x14ac:dyDescent="0.35">
      <c r="D535"/>
    </row>
    <row r="536" spans="4:4" x14ac:dyDescent="0.35">
      <c r="D536"/>
    </row>
    <row r="537" spans="4:4" x14ac:dyDescent="0.35">
      <c r="D537"/>
    </row>
    <row r="538" spans="4:4" x14ac:dyDescent="0.35">
      <c r="D538"/>
    </row>
    <row r="539" spans="4:4" x14ac:dyDescent="0.35">
      <c r="D539"/>
    </row>
    <row r="540" spans="4:4" x14ac:dyDescent="0.35">
      <c r="D540"/>
    </row>
    <row r="541" spans="4:4" x14ac:dyDescent="0.35">
      <c r="D541"/>
    </row>
    <row r="542" spans="4:4" x14ac:dyDescent="0.35">
      <c r="D542"/>
    </row>
    <row r="543" spans="4:4" x14ac:dyDescent="0.35">
      <c r="D543"/>
    </row>
    <row r="544" spans="4:4" x14ac:dyDescent="0.35">
      <c r="D544"/>
    </row>
    <row r="545" spans="4:4" x14ac:dyDescent="0.35">
      <c r="D545"/>
    </row>
    <row r="546" spans="4:4" x14ac:dyDescent="0.35">
      <c r="D546"/>
    </row>
    <row r="547" spans="4:4" x14ac:dyDescent="0.35">
      <c r="D547"/>
    </row>
    <row r="548" spans="4:4" x14ac:dyDescent="0.35">
      <c r="D548"/>
    </row>
    <row r="549" spans="4:4" x14ac:dyDescent="0.35">
      <c r="D549"/>
    </row>
    <row r="550" spans="4:4" x14ac:dyDescent="0.35">
      <c r="D550"/>
    </row>
    <row r="551" spans="4:4" x14ac:dyDescent="0.35">
      <c r="D551"/>
    </row>
    <row r="552" spans="4:4" x14ac:dyDescent="0.35">
      <c r="D552"/>
    </row>
    <row r="553" spans="4:4" x14ac:dyDescent="0.35">
      <c r="D553"/>
    </row>
    <row r="554" spans="4:4" x14ac:dyDescent="0.35">
      <c r="D554"/>
    </row>
    <row r="555" spans="4:4" x14ac:dyDescent="0.35">
      <c r="D555"/>
    </row>
    <row r="556" spans="4:4" x14ac:dyDescent="0.35">
      <c r="D556"/>
    </row>
    <row r="557" spans="4:4" x14ac:dyDescent="0.35">
      <c r="D557"/>
    </row>
    <row r="558" spans="4:4" x14ac:dyDescent="0.35">
      <c r="D558"/>
    </row>
    <row r="559" spans="4:4" x14ac:dyDescent="0.35">
      <c r="D559"/>
    </row>
    <row r="560" spans="4:4" x14ac:dyDescent="0.35">
      <c r="D560"/>
    </row>
    <row r="561" spans="4:4" x14ac:dyDescent="0.35">
      <c r="D561"/>
    </row>
    <row r="562" spans="4:4" x14ac:dyDescent="0.35">
      <c r="D562"/>
    </row>
    <row r="563" spans="4:4" x14ac:dyDescent="0.35">
      <c r="D563"/>
    </row>
    <row r="564" spans="4:4" x14ac:dyDescent="0.35">
      <c r="D564"/>
    </row>
    <row r="565" spans="4:4" x14ac:dyDescent="0.35">
      <c r="D565"/>
    </row>
    <row r="566" spans="4:4" x14ac:dyDescent="0.35">
      <c r="D566"/>
    </row>
    <row r="567" spans="4:4" x14ac:dyDescent="0.35">
      <c r="D567"/>
    </row>
    <row r="568" spans="4:4" x14ac:dyDescent="0.35">
      <c r="D568"/>
    </row>
    <row r="569" spans="4:4" x14ac:dyDescent="0.35">
      <c r="D569"/>
    </row>
    <row r="570" spans="4:4" x14ac:dyDescent="0.35">
      <c r="D570"/>
    </row>
    <row r="571" spans="4:4" x14ac:dyDescent="0.35">
      <c r="D571"/>
    </row>
    <row r="572" spans="4:4" x14ac:dyDescent="0.35">
      <c r="D572"/>
    </row>
    <row r="573" spans="4:4" x14ac:dyDescent="0.35">
      <c r="D573"/>
    </row>
    <row r="574" spans="4:4" x14ac:dyDescent="0.35">
      <c r="D574"/>
    </row>
    <row r="575" spans="4:4" x14ac:dyDescent="0.35">
      <c r="D575"/>
    </row>
    <row r="576" spans="4:4" x14ac:dyDescent="0.35">
      <c r="D576"/>
    </row>
    <row r="577" spans="4:4" x14ac:dyDescent="0.35">
      <c r="D577"/>
    </row>
    <row r="578" spans="4:4" x14ac:dyDescent="0.35">
      <c r="D578"/>
    </row>
    <row r="579" spans="4:4" x14ac:dyDescent="0.35">
      <c r="D579"/>
    </row>
    <row r="580" spans="4:4" x14ac:dyDescent="0.35">
      <c r="D580"/>
    </row>
    <row r="581" spans="4:4" x14ac:dyDescent="0.35">
      <c r="D581"/>
    </row>
    <row r="582" spans="4:4" x14ac:dyDescent="0.35">
      <c r="D582"/>
    </row>
    <row r="583" spans="4:4" x14ac:dyDescent="0.35">
      <c r="D583"/>
    </row>
    <row r="584" spans="4:4" x14ac:dyDescent="0.35">
      <c r="D584"/>
    </row>
    <row r="585" spans="4:4" x14ac:dyDescent="0.35">
      <c r="D585"/>
    </row>
    <row r="586" spans="4:4" x14ac:dyDescent="0.35">
      <c r="D586"/>
    </row>
    <row r="587" spans="4:4" x14ac:dyDescent="0.35">
      <c r="D587"/>
    </row>
    <row r="588" spans="4:4" x14ac:dyDescent="0.35">
      <c r="D588"/>
    </row>
    <row r="589" spans="4:4" x14ac:dyDescent="0.35">
      <c r="D589"/>
    </row>
    <row r="590" spans="4:4" x14ac:dyDescent="0.35">
      <c r="D590"/>
    </row>
    <row r="591" spans="4:4" x14ac:dyDescent="0.35">
      <c r="D591"/>
    </row>
    <row r="592" spans="4:4" x14ac:dyDescent="0.35">
      <c r="D592"/>
    </row>
    <row r="593" spans="4:4" x14ac:dyDescent="0.35">
      <c r="D593"/>
    </row>
    <row r="594" spans="4:4" x14ac:dyDescent="0.35">
      <c r="D594"/>
    </row>
    <row r="595" spans="4:4" x14ac:dyDescent="0.35">
      <c r="D595"/>
    </row>
    <row r="596" spans="4:4" x14ac:dyDescent="0.35">
      <c r="D596"/>
    </row>
    <row r="597" spans="4:4" x14ac:dyDescent="0.35">
      <c r="D597"/>
    </row>
    <row r="598" spans="4:4" x14ac:dyDescent="0.35">
      <c r="D598"/>
    </row>
    <row r="599" spans="4:4" x14ac:dyDescent="0.35">
      <c r="D599"/>
    </row>
    <row r="600" spans="4:4" x14ac:dyDescent="0.35">
      <c r="D600"/>
    </row>
    <row r="601" spans="4:4" x14ac:dyDescent="0.35">
      <c r="D601"/>
    </row>
    <row r="602" spans="4:4" x14ac:dyDescent="0.35">
      <c r="D602"/>
    </row>
    <row r="603" spans="4:4" x14ac:dyDescent="0.35">
      <c r="D603"/>
    </row>
    <row r="604" spans="4:4" x14ac:dyDescent="0.35">
      <c r="D604"/>
    </row>
    <row r="605" spans="4:4" x14ac:dyDescent="0.35">
      <c r="D605"/>
    </row>
    <row r="606" spans="4:4" x14ac:dyDescent="0.35">
      <c r="D606"/>
    </row>
    <row r="607" spans="4:4" x14ac:dyDescent="0.35">
      <c r="D607"/>
    </row>
    <row r="608" spans="4:4" x14ac:dyDescent="0.35">
      <c r="D608"/>
    </row>
    <row r="609" spans="4:4" x14ac:dyDescent="0.35">
      <c r="D609"/>
    </row>
    <row r="610" spans="4:4" x14ac:dyDescent="0.35">
      <c r="D610"/>
    </row>
    <row r="611" spans="4:4" x14ac:dyDescent="0.35">
      <c r="D611"/>
    </row>
    <row r="612" spans="4:4" x14ac:dyDescent="0.35">
      <c r="D612"/>
    </row>
    <row r="613" spans="4:4" x14ac:dyDescent="0.35">
      <c r="D613"/>
    </row>
    <row r="614" spans="4:4" x14ac:dyDescent="0.35">
      <c r="D614"/>
    </row>
    <row r="615" spans="4:4" x14ac:dyDescent="0.35">
      <c r="D615"/>
    </row>
    <row r="616" spans="4:4" x14ac:dyDescent="0.35">
      <c r="D616"/>
    </row>
    <row r="617" spans="4:4" x14ac:dyDescent="0.35">
      <c r="D617"/>
    </row>
    <row r="618" spans="4:4" x14ac:dyDescent="0.35">
      <c r="D618"/>
    </row>
    <row r="619" spans="4:4" x14ac:dyDescent="0.35">
      <c r="D619"/>
    </row>
    <row r="620" spans="4:4" x14ac:dyDescent="0.35">
      <c r="D620"/>
    </row>
    <row r="621" spans="4:4" x14ac:dyDescent="0.35">
      <c r="D621"/>
    </row>
    <row r="622" spans="4:4" x14ac:dyDescent="0.35">
      <c r="D622"/>
    </row>
    <row r="623" spans="4:4" x14ac:dyDescent="0.35">
      <c r="D623"/>
    </row>
    <row r="624" spans="4:4" x14ac:dyDescent="0.35">
      <c r="D624"/>
    </row>
    <row r="625" spans="4:4" x14ac:dyDescent="0.35">
      <c r="D625"/>
    </row>
    <row r="626" spans="4:4" x14ac:dyDescent="0.35">
      <c r="D626"/>
    </row>
    <row r="627" spans="4:4" x14ac:dyDescent="0.35">
      <c r="D627"/>
    </row>
    <row r="628" spans="4:4" x14ac:dyDescent="0.35">
      <c r="D628"/>
    </row>
    <row r="629" spans="4:4" x14ac:dyDescent="0.35">
      <c r="D629"/>
    </row>
    <row r="630" spans="4:4" x14ac:dyDescent="0.35">
      <c r="D630"/>
    </row>
    <row r="631" spans="4:4" x14ac:dyDescent="0.35">
      <c r="D631"/>
    </row>
    <row r="632" spans="4:4" x14ac:dyDescent="0.35">
      <c r="D632"/>
    </row>
    <row r="633" spans="4:4" x14ac:dyDescent="0.35">
      <c r="D633"/>
    </row>
    <row r="634" spans="4:4" x14ac:dyDescent="0.35">
      <c r="D634"/>
    </row>
    <row r="635" spans="4:4" x14ac:dyDescent="0.35">
      <c r="D635"/>
    </row>
    <row r="636" spans="4:4" x14ac:dyDescent="0.35">
      <c r="D636"/>
    </row>
    <row r="637" spans="4:4" x14ac:dyDescent="0.35">
      <c r="D637"/>
    </row>
    <row r="638" spans="4:4" x14ac:dyDescent="0.35">
      <c r="D638"/>
    </row>
    <row r="639" spans="4:4" x14ac:dyDescent="0.35">
      <c r="D639"/>
    </row>
    <row r="640" spans="4:4" x14ac:dyDescent="0.35">
      <c r="D640"/>
    </row>
    <row r="641" spans="4:4" x14ac:dyDescent="0.35">
      <c r="D641"/>
    </row>
    <row r="642" spans="4:4" x14ac:dyDescent="0.35">
      <c r="D642"/>
    </row>
    <row r="643" spans="4:4" x14ac:dyDescent="0.35">
      <c r="D643"/>
    </row>
    <row r="644" spans="4:4" x14ac:dyDescent="0.35">
      <c r="D644"/>
    </row>
    <row r="645" spans="4:4" x14ac:dyDescent="0.35">
      <c r="D645"/>
    </row>
    <row r="646" spans="4:4" x14ac:dyDescent="0.35">
      <c r="D646"/>
    </row>
    <row r="647" spans="4:4" x14ac:dyDescent="0.35">
      <c r="D647"/>
    </row>
    <row r="648" spans="4:4" x14ac:dyDescent="0.35">
      <c r="D648"/>
    </row>
    <row r="649" spans="4:4" x14ac:dyDescent="0.35">
      <c r="D649"/>
    </row>
    <row r="650" spans="4:4" x14ac:dyDescent="0.35">
      <c r="D650"/>
    </row>
    <row r="651" spans="4:4" x14ac:dyDescent="0.35">
      <c r="D651"/>
    </row>
    <row r="652" spans="4:4" x14ac:dyDescent="0.35">
      <c r="D652"/>
    </row>
    <row r="653" spans="4:4" x14ac:dyDescent="0.35">
      <c r="D653"/>
    </row>
    <row r="654" spans="4:4" x14ac:dyDescent="0.35">
      <c r="D654"/>
    </row>
    <row r="655" spans="4:4" x14ac:dyDescent="0.35">
      <c r="D655"/>
    </row>
    <row r="656" spans="4:4" x14ac:dyDescent="0.35">
      <c r="D656"/>
    </row>
    <row r="657" spans="4:4" x14ac:dyDescent="0.35">
      <c r="D657"/>
    </row>
    <row r="658" spans="4:4" x14ac:dyDescent="0.35">
      <c r="D658"/>
    </row>
    <row r="659" spans="4:4" x14ac:dyDescent="0.35">
      <c r="D659"/>
    </row>
    <row r="660" spans="4:4" x14ac:dyDescent="0.35">
      <c r="D660"/>
    </row>
    <row r="661" spans="4:4" x14ac:dyDescent="0.35">
      <c r="D661"/>
    </row>
    <row r="662" spans="4:4" x14ac:dyDescent="0.35">
      <c r="D662"/>
    </row>
    <row r="663" spans="4:4" x14ac:dyDescent="0.35">
      <c r="D663"/>
    </row>
    <row r="664" spans="4:4" x14ac:dyDescent="0.35">
      <c r="D664"/>
    </row>
    <row r="665" spans="4:4" x14ac:dyDescent="0.35">
      <c r="D665"/>
    </row>
    <row r="666" spans="4:4" x14ac:dyDescent="0.35">
      <c r="D666"/>
    </row>
    <row r="667" spans="4:4" x14ac:dyDescent="0.35">
      <c r="D667"/>
    </row>
    <row r="668" spans="4:4" x14ac:dyDescent="0.35">
      <c r="D668"/>
    </row>
    <row r="669" spans="4:4" x14ac:dyDescent="0.35">
      <c r="D669"/>
    </row>
    <row r="670" spans="4:4" x14ac:dyDescent="0.35">
      <c r="D670"/>
    </row>
    <row r="671" spans="4:4" x14ac:dyDescent="0.35">
      <c r="D671"/>
    </row>
    <row r="672" spans="4:4" x14ac:dyDescent="0.35">
      <c r="D672"/>
    </row>
    <row r="673" spans="4:4" x14ac:dyDescent="0.35">
      <c r="D673"/>
    </row>
    <row r="674" spans="4:4" x14ac:dyDescent="0.35">
      <c r="D674"/>
    </row>
    <row r="675" spans="4:4" x14ac:dyDescent="0.35">
      <c r="D675"/>
    </row>
    <row r="676" spans="4:4" x14ac:dyDescent="0.35">
      <c r="D676"/>
    </row>
    <row r="677" spans="4:4" x14ac:dyDescent="0.35">
      <c r="D677"/>
    </row>
    <row r="678" spans="4:4" x14ac:dyDescent="0.35">
      <c r="D678"/>
    </row>
    <row r="679" spans="4:4" x14ac:dyDescent="0.35">
      <c r="D679"/>
    </row>
    <row r="680" spans="4:4" x14ac:dyDescent="0.35">
      <c r="D680"/>
    </row>
    <row r="681" spans="4:4" x14ac:dyDescent="0.35">
      <c r="D681"/>
    </row>
    <row r="682" spans="4:4" x14ac:dyDescent="0.35">
      <c r="D682"/>
    </row>
    <row r="683" spans="4:4" x14ac:dyDescent="0.35">
      <c r="D683"/>
    </row>
    <row r="684" spans="4:4" x14ac:dyDescent="0.35">
      <c r="D684"/>
    </row>
    <row r="685" spans="4:4" x14ac:dyDescent="0.35">
      <c r="D685"/>
    </row>
    <row r="686" spans="4:4" x14ac:dyDescent="0.35">
      <c r="D686"/>
    </row>
    <row r="687" spans="4:4" x14ac:dyDescent="0.35">
      <c r="D687"/>
    </row>
    <row r="688" spans="4:4" x14ac:dyDescent="0.35">
      <c r="D688"/>
    </row>
    <row r="689" spans="4:4" x14ac:dyDescent="0.35">
      <c r="D689"/>
    </row>
    <row r="690" spans="4:4" x14ac:dyDescent="0.35">
      <c r="D690"/>
    </row>
    <row r="691" spans="4:4" x14ac:dyDescent="0.35">
      <c r="D691"/>
    </row>
    <row r="692" spans="4:4" x14ac:dyDescent="0.35">
      <c r="D692"/>
    </row>
    <row r="693" spans="4:4" x14ac:dyDescent="0.35">
      <c r="D693"/>
    </row>
    <row r="694" spans="4:4" x14ac:dyDescent="0.35">
      <c r="D694"/>
    </row>
    <row r="695" spans="4:4" x14ac:dyDescent="0.35">
      <c r="D695"/>
    </row>
    <row r="696" spans="4:4" x14ac:dyDescent="0.35">
      <c r="D696"/>
    </row>
    <row r="697" spans="4:4" x14ac:dyDescent="0.35">
      <c r="D697"/>
    </row>
    <row r="698" spans="4:4" x14ac:dyDescent="0.35">
      <c r="D698"/>
    </row>
    <row r="699" spans="4:4" x14ac:dyDescent="0.35">
      <c r="D699"/>
    </row>
    <row r="700" spans="4:4" x14ac:dyDescent="0.35">
      <c r="D700"/>
    </row>
    <row r="701" spans="4:4" x14ac:dyDescent="0.35">
      <c r="D701"/>
    </row>
    <row r="702" spans="4:4" x14ac:dyDescent="0.35">
      <c r="D702"/>
    </row>
    <row r="703" spans="4:4" x14ac:dyDescent="0.35">
      <c r="D703"/>
    </row>
    <row r="704" spans="4:4" x14ac:dyDescent="0.35">
      <c r="D704"/>
    </row>
    <row r="705" spans="4:4" x14ac:dyDescent="0.35">
      <c r="D705"/>
    </row>
    <row r="706" spans="4:4" x14ac:dyDescent="0.35">
      <c r="D706"/>
    </row>
    <row r="707" spans="4:4" x14ac:dyDescent="0.35">
      <c r="D707"/>
    </row>
    <row r="708" spans="4:4" x14ac:dyDescent="0.35">
      <c r="D708"/>
    </row>
    <row r="709" spans="4:4" x14ac:dyDescent="0.35">
      <c r="D709"/>
    </row>
    <row r="710" spans="4:4" x14ac:dyDescent="0.35">
      <c r="D710"/>
    </row>
    <row r="711" spans="4:4" x14ac:dyDescent="0.35">
      <c r="D711"/>
    </row>
    <row r="712" spans="4:4" x14ac:dyDescent="0.35">
      <c r="D712"/>
    </row>
    <row r="713" spans="4:4" x14ac:dyDescent="0.35">
      <c r="D713"/>
    </row>
    <row r="714" spans="4:4" x14ac:dyDescent="0.35">
      <c r="D714"/>
    </row>
    <row r="715" spans="4:4" x14ac:dyDescent="0.35">
      <c r="D715"/>
    </row>
    <row r="716" spans="4:4" x14ac:dyDescent="0.35">
      <c r="D716"/>
    </row>
    <row r="717" spans="4:4" x14ac:dyDescent="0.35">
      <c r="D717"/>
    </row>
    <row r="718" spans="4:4" x14ac:dyDescent="0.35">
      <c r="D718"/>
    </row>
    <row r="719" spans="4:4" x14ac:dyDescent="0.35">
      <c r="D719"/>
    </row>
    <row r="720" spans="4:4" x14ac:dyDescent="0.35">
      <c r="D720"/>
    </row>
    <row r="721" spans="4:4" x14ac:dyDescent="0.35">
      <c r="D721"/>
    </row>
    <row r="722" spans="4:4" x14ac:dyDescent="0.35">
      <c r="D722"/>
    </row>
    <row r="723" spans="4:4" x14ac:dyDescent="0.35">
      <c r="D723"/>
    </row>
    <row r="724" spans="4:4" x14ac:dyDescent="0.35">
      <c r="D724"/>
    </row>
    <row r="725" spans="4:4" x14ac:dyDescent="0.35">
      <c r="D725"/>
    </row>
    <row r="726" spans="4:4" x14ac:dyDescent="0.35">
      <c r="D726"/>
    </row>
    <row r="727" spans="4:4" x14ac:dyDescent="0.35">
      <c r="D727"/>
    </row>
    <row r="728" spans="4:4" x14ac:dyDescent="0.35">
      <c r="D728"/>
    </row>
    <row r="729" spans="4:4" x14ac:dyDescent="0.35">
      <c r="D729"/>
    </row>
    <row r="730" spans="4:4" x14ac:dyDescent="0.35">
      <c r="D730"/>
    </row>
    <row r="731" spans="4:4" x14ac:dyDescent="0.35">
      <c r="D731"/>
    </row>
    <row r="732" spans="4:4" x14ac:dyDescent="0.35">
      <c r="D732"/>
    </row>
    <row r="733" spans="4:4" x14ac:dyDescent="0.35">
      <c r="D733"/>
    </row>
    <row r="734" spans="4:4" x14ac:dyDescent="0.35">
      <c r="D734"/>
    </row>
    <row r="735" spans="4:4" x14ac:dyDescent="0.35">
      <c r="D735"/>
    </row>
    <row r="736" spans="4:4" x14ac:dyDescent="0.35">
      <c r="D736"/>
    </row>
    <row r="737" spans="4:4" x14ac:dyDescent="0.35">
      <c r="D737"/>
    </row>
    <row r="738" spans="4:4" x14ac:dyDescent="0.35">
      <c r="D738"/>
    </row>
    <row r="739" spans="4:4" x14ac:dyDescent="0.35">
      <c r="D739"/>
    </row>
    <row r="740" spans="4:4" x14ac:dyDescent="0.35">
      <c r="D740"/>
    </row>
    <row r="741" spans="4:4" x14ac:dyDescent="0.35">
      <c r="D741"/>
    </row>
    <row r="742" spans="4:4" x14ac:dyDescent="0.35">
      <c r="D742"/>
    </row>
    <row r="743" spans="4:4" x14ac:dyDescent="0.35">
      <c r="D743"/>
    </row>
    <row r="744" spans="4:4" x14ac:dyDescent="0.35">
      <c r="D744"/>
    </row>
    <row r="745" spans="4:4" x14ac:dyDescent="0.35">
      <c r="D745"/>
    </row>
    <row r="746" spans="4:4" x14ac:dyDescent="0.35">
      <c r="D746"/>
    </row>
    <row r="747" spans="4:4" x14ac:dyDescent="0.35">
      <c r="D747"/>
    </row>
    <row r="748" spans="4:4" x14ac:dyDescent="0.35">
      <c r="D748"/>
    </row>
    <row r="749" spans="4:4" x14ac:dyDescent="0.35">
      <c r="D749"/>
    </row>
    <row r="750" spans="4:4" x14ac:dyDescent="0.35">
      <c r="D750"/>
    </row>
    <row r="751" spans="4:4" x14ac:dyDescent="0.35">
      <c r="D751"/>
    </row>
    <row r="752" spans="4:4" x14ac:dyDescent="0.35">
      <c r="D752"/>
    </row>
    <row r="753" spans="4:4" x14ac:dyDescent="0.35">
      <c r="D753"/>
    </row>
    <row r="754" spans="4:4" x14ac:dyDescent="0.35">
      <c r="D754"/>
    </row>
    <row r="755" spans="4:4" x14ac:dyDescent="0.35">
      <c r="D755"/>
    </row>
    <row r="756" spans="4:4" x14ac:dyDescent="0.35">
      <c r="D756"/>
    </row>
    <row r="757" spans="4:4" x14ac:dyDescent="0.35">
      <c r="D757"/>
    </row>
    <row r="758" spans="4:4" x14ac:dyDescent="0.35">
      <c r="D758"/>
    </row>
    <row r="759" spans="4:4" x14ac:dyDescent="0.35">
      <c r="D759"/>
    </row>
    <row r="760" spans="4:4" x14ac:dyDescent="0.35">
      <c r="D760"/>
    </row>
    <row r="761" spans="4:4" x14ac:dyDescent="0.35">
      <c r="D761"/>
    </row>
    <row r="762" spans="4:4" x14ac:dyDescent="0.35">
      <c r="D762"/>
    </row>
    <row r="763" spans="4:4" x14ac:dyDescent="0.35">
      <c r="D763"/>
    </row>
    <row r="764" spans="4:4" x14ac:dyDescent="0.35">
      <c r="D764"/>
    </row>
    <row r="765" spans="4:4" x14ac:dyDescent="0.35">
      <c r="D765"/>
    </row>
    <row r="766" spans="4:4" x14ac:dyDescent="0.35">
      <c r="D766"/>
    </row>
    <row r="767" spans="4:4" x14ac:dyDescent="0.35">
      <c r="D767"/>
    </row>
    <row r="768" spans="4:4" x14ac:dyDescent="0.35">
      <c r="D768"/>
    </row>
    <row r="769" spans="4:4" x14ac:dyDescent="0.35">
      <c r="D769"/>
    </row>
    <row r="770" spans="4:4" x14ac:dyDescent="0.35">
      <c r="D770"/>
    </row>
    <row r="771" spans="4:4" x14ac:dyDescent="0.35">
      <c r="D771"/>
    </row>
    <row r="772" spans="4:4" x14ac:dyDescent="0.35">
      <c r="D772"/>
    </row>
    <row r="773" spans="4:4" x14ac:dyDescent="0.35">
      <c r="D773"/>
    </row>
    <row r="774" spans="4:4" x14ac:dyDescent="0.35">
      <c r="D774"/>
    </row>
    <row r="775" spans="4:4" x14ac:dyDescent="0.35">
      <c r="D775"/>
    </row>
    <row r="776" spans="4:4" x14ac:dyDescent="0.35">
      <c r="D776"/>
    </row>
    <row r="777" spans="4:4" x14ac:dyDescent="0.35">
      <c r="D777"/>
    </row>
    <row r="778" spans="4:4" x14ac:dyDescent="0.35">
      <c r="D778"/>
    </row>
    <row r="779" spans="4:4" x14ac:dyDescent="0.35">
      <c r="D779"/>
    </row>
    <row r="780" spans="4:4" x14ac:dyDescent="0.35">
      <c r="D780"/>
    </row>
    <row r="781" spans="4:4" x14ac:dyDescent="0.35">
      <c r="D781"/>
    </row>
    <row r="782" spans="4:4" x14ac:dyDescent="0.35">
      <c r="D782"/>
    </row>
    <row r="783" spans="4:4" x14ac:dyDescent="0.35">
      <c r="D783"/>
    </row>
    <row r="784" spans="4:4" x14ac:dyDescent="0.35">
      <c r="D784"/>
    </row>
    <row r="785" spans="4:4" x14ac:dyDescent="0.35">
      <c r="D785"/>
    </row>
    <row r="786" spans="4:4" x14ac:dyDescent="0.35">
      <c r="D786"/>
    </row>
    <row r="787" spans="4:4" x14ac:dyDescent="0.35">
      <c r="D787"/>
    </row>
    <row r="788" spans="4:4" x14ac:dyDescent="0.35">
      <c r="D788"/>
    </row>
    <row r="789" spans="4:4" x14ac:dyDescent="0.35">
      <c r="D789"/>
    </row>
    <row r="790" spans="4:4" x14ac:dyDescent="0.35">
      <c r="D790"/>
    </row>
    <row r="791" spans="4:4" x14ac:dyDescent="0.35">
      <c r="D791"/>
    </row>
    <row r="792" spans="4:4" x14ac:dyDescent="0.35">
      <c r="D792"/>
    </row>
    <row r="793" spans="4:4" x14ac:dyDescent="0.35">
      <c r="D793"/>
    </row>
    <row r="794" spans="4:4" x14ac:dyDescent="0.35">
      <c r="D794"/>
    </row>
    <row r="795" spans="4:4" x14ac:dyDescent="0.35">
      <c r="D795"/>
    </row>
    <row r="796" spans="4:4" x14ac:dyDescent="0.35">
      <c r="D796"/>
    </row>
    <row r="797" spans="4:4" x14ac:dyDescent="0.35">
      <c r="D797"/>
    </row>
    <row r="798" spans="4:4" x14ac:dyDescent="0.35">
      <c r="D798"/>
    </row>
    <row r="799" spans="4:4" x14ac:dyDescent="0.35">
      <c r="D799"/>
    </row>
    <row r="800" spans="4:4" x14ac:dyDescent="0.35">
      <c r="D800"/>
    </row>
    <row r="801" spans="4:4" x14ac:dyDescent="0.35">
      <c r="D801"/>
    </row>
    <row r="802" spans="4:4" x14ac:dyDescent="0.35">
      <c r="D802"/>
    </row>
    <row r="803" spans="4:4" x14ac:dyDescent="0.35">
      <c r="D803"/>
    </row>
    <row r="804" spans="4:4" x14ac:dyDescent="0.35">
      <c r="D804"/>
    </row>
    <row r="805" spans="4:4" x14ac:dyDescent="0.35">
      <c r="D805"/>
    </row>
    <row r="806" spans="4:4" x14ac:dyDescent="0.35">
      <c r="D806"/>
    </row>
    <row r="807" spans="4:4" x14ac:dyDescent="0.35">
      <c r="D807"/>
    </row>
    <row r="808" spans="4:4" x14ac:dyDescent="0.35">
      <c r="D808"/>
    </row>
    <row r="809" spans="4:4" x14ac:dyDescent="0.35">
      <c r="D809"/>
    </row>
    <row r="810" spans="4:4" x14ac:dyDescent="0.35">
      <c r="D810"/>
    </row>
    <row r="811" spans="4:4" x14ac:dyDescent="0.35">
      <c r="D811"/>
    </row>
    <row r="812" spans="4:4" x14ac:dyDescent="0.35">
      <c r="D812"/>
    </row>
    <row r="813" spans="4:4" x14ac:dyDescent="0.35">
      <c r="D813"/>
    </row>
    <row r="814" spans="4:4" x14ac:dyDescent="0.35">
      <c r="D814"/>
    </row>
    <row r="815" spans="4:4" x14ac:dyDescent="0.35">
      <c r="D815"/>
    </row>
    <row r="816" spans="4:4" x14ac:dyDescent="0.35">
      <c r="D816"/>
    </row>
    <row r="817" spans="4:4" x14ac:dyDescent="0.35">
      <c r="D817"/>
    </row>
    <row r="818" spans="4:4" x14ac:dyDescent="0.35">
      <c r="D818"/>
    </row>
    <row r="819" spans="4:4" x14ac:dyDescent="0.35">
      <c r="D819"/>
    </row>
    <row r="820" spans="4:4" x14ac:dyDescent="0.35">
      <c r="D820"/>
    </row>
    <row r="821" spans="4:4" x14ac:dyDescent="0.35">
      <c r="D821"/>
    </row>
    <row r="822" spans="4:4" x14ac:dyDescent="0.35">
      <c r="D822"/>
    </row>
    <row r="823" spans="4:4" x14ac:dyDescent="0.35">
      <c r="D823"/>
    </row>
    <row r="824" spans="4:4" x14ac:dyDescent="0.35">
      <c r="D824"/>
    </row>
    <row r="825" spans="4:4" x14ac:dyDescent="0.35">
      <c r="D825"/>
    </row>
    <row r="826" spans="4:4" x14ac:dyDescent="0.35">
      <c r="D826"/>
    </row>
    <row r="827" spans="4:4" x14ac:dyDescent="0.35">
      <c r="D827"/>
    </row>
    <row r="828" spans="4:4" x14ac:dyDescent="0.35">
      <c r="D828"/>
    </row>
    <row r="829" spans="4:4" x14ac:dyDescent="0.35">
      <c r="D829"/>
    </row>
    <row r="830" spans="4:4" x14ac:dyDescent="0.35">
      <c r="D830"/>
    </row>
    <row r="831" spans="4:4" x14ac:dyDescent="0.35">
      <c r="D831"/>
    </row>
    <row r="832" spans="4:4" x14ac:dyDescent="0.35">
      <c r="D832"/>
    </row>
    <row r="833" spans="4:4" x14ac:dyDescent="0.35">
      <c r="D833"/>
    </row>
    <row r="834" spans="4:4" x14ac:dyDescent="0.35">
      <c r="D834"/>
    </row>
    <row r="835" spans="4:4" x14ac:dyDescent="0.35">
      <c r="D835"/>
    </row>
    <row r="836" spans="4:4" x14ac:dyDescent="0.35">
      <c r="D836"/>
    </row>
    <row r="837" spans="4:4" x14ac:dyDescent="0.35">
      <c r="D837"/>
    </row>
    <row r="838" spans="4:4" x14ac:dyDescent="0.35">
      <c r="D838"/>
    </row>
    <row r="839" spans="4:4" x14ac:dyDescent="0.35">
      <c r="D839"/>
    </row>
    <row r="840" spans="4:4" x14ac:dyDescent="0.35">
      <c r="D840"/>
    </row>
    <row r="841" spans="4:4" x14ac:dyDescent="0.35">
      <c r="D841"/>
    </row>
    <row r="842" spans="4:4" x14ac:dyDescent="0.35">
      <c r="D842"/>
    </row>
    <row r="843" spans="4:4" x14ac:dyDescent="0.35">
      <c r="D84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65A6D-65C3-4FA0-8190-103605398409}">
  <sheetPr codeName="RATE_TABLES"/>
  <dimension ref="A1:P2"/>
  <sheetViews>
    <sheetView zoomScale="115" zoomScaleNormal="115" workbookViewId="0"/>
  </sheetViews>
  <sheetFormatPr defaultColWidth="8.7265625" defaultRowHeight="10.5" x14ac:dyDescent="0.25"/>
  <cols>
    <col min="1" max="1" width="9.36328125" style="1" bestFit="1" customWidth="1"/>
    <col min="2" max="2" width="32.81640625" style="1" bestFit="1" customWidth="1"/>
    <col min="3" max="3" width="58.7265625" style="1" bestFit="1" customWidth="1"/>
    <col min="4" max="4" width="9.54296875" style="2" bestFit="1" customWidth="1"/>
    <col min="5" max="5" width="8.81640625" style="2" bestFit="1" customWidth="1"/>
    <col min="6" max="6" width="16.90625" style="1" bestFit="1" customWidth="1"/>
    <col min="7" max="7" width="11.81640625" style="1" bestFit="1" customWidth="1"/>
    <col min="8" max="8" width="16.7265625" style="1" bestFit="1" customWidth="1"/>
    <col min="9" max="9" width="11.26953125" style="1" bestFit="1" customWidth="1"/>
    <col min="10" max="10" width="8.26953125" style="1" bestFit="1" customWidth="1"/>
    <col min="11" max="11" width="9.54296875" style="1" bestFit="1" customWidth="1"/>
    <col min="12" max="12" width="10.6328125" style="1" bestFit="1" customWidth="1"/>
    <col min="13" max="13" width="8.26953125" style="1" bestFit="1" customWidth="1"/>
    <col min="14" max="14" width="8.81640625" style="1" bestFit="1" customWidth="1"/>
    <col min="15" max="15" width="6.90625" style="1" bestFit="1" customWidth="1"/>
    <col min="16" max="16" width="9.26953125" style="1" bestFit="1" customWidth="1"/>
    <col min="17" max="16384" width="8.7265625" style="1"/>
  </cols>
  <sheetData>
    <row r="1" spans="1:16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5" t="s">
        <v>78</v>
      </c>
      <c r="G1" s="59" t="s">
        <v>79</v>
      </c>
      <c r="H1" s="59" t="s">
        <v>80</v>
      </c>
      <c r="I1" s="59" t="s">
        <v>81</v>
      </c>
      <c r="J1" s="59" t="s">
        <v>6</v>
      </c>
      <c r="K1" s="59" t="s">
        <v>82</v>
      </c>
      <c r="L1" s="59" t="s">
        <v>83</v>
      </c>
      <c r="M1" s="59" t="s">
        <v>7</v>
      </c>
      <c r="N1" s="59" t="s">
        <v>84</v>
      </c>
      <c r="O1" s="59" t="s">
        <v>19</v>
      </c>
      <c r="P1" s="59" t="s">
        <v>18</v>
      </c>
    </row>
    <row r="2" spans="1:16" x14ac:dyDescent="0.25">
      <c r="A2" s="8"/>
      <c r="B2" s="8"/>
      <c r="C2" s="8"/>
      <c r="D2" s="15"/>
      <c r="E2" s="15"/>
      <c r="F2" s="7"/>
      <c r="G2" s="60"/>
      <c r="H2" s="60"/>
      <c r="I2" s="60"/>
      <c r="J2" s="60"/>
      <c r="K2" s="60"/>
      <c r="L2" s="60"/>
      <c r="M2" s="60"/>
      <c r="N2" s="60"/>
      <c r="O2" s="60"/>
      <c r="P2" s="6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E457-8EB6-4D15-AB2D-DD679975A91E}">
  <sheetPr codeName="FIXED_VALUES"/>
  <dimension ref="A1:G16"/>
  <sheetViews>
    <sheetView zoomScale="130" zoomScaleNormal="130" workbookViewId="0">
      <selection activeCell="B10" sqref="B10"/>
    </sheetView>
  </sheetViews>
  <sheetFormatPr defaultColWidth="8.7265625" defaultRowHeight="10.5" x14ac:dyDescent="0.25"/>
  <cols>
    <col min="1" max="1" width="8.54296875" style="1" bestFit="1" customWidth="1"/>
    <col min="2" max="2" width="47.26953125" style="1" bestFit="1" customWidth="1"/>
    <col min="3" max="3" width="57.90625" style="1" bestFit="1" customWidth="1"/>
    <col min="4" max="4" width="9.26953125" style="2" bestFit="1" customWidth="1"/>
    <col min="5" max="5" width="8.54296875" style="2" bestFit="1" customWidth="1"/>
    <col min="6" max="6" width="10.453125" style="1" bestFit="1" customWidth="1"/>
    <col min="7" max="7" width="8.90625" style="1" bestFit="1" customWidth="1"/>
    <col min="8" max="16384" width="8.7265625" style="1"/>
  </cols>
  <sheetData>
    <row r="1" spans="1:7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5" t="s">
        <v>19</v>
      </c>
      <c r="G1" s="5" t="s">
        <v>18</v>
      </c>
    </row>
    <row r="2" spans="1:7" x14ac:dyDescent="0.25">
      <c r="A2" s="8" t="s">
        <v>229</v>
      </c>
      <c r="B2" s="8" t="s">
        <v>414</v>
      </c>
      <c r="C2" s="8" t="s">
        <v>415</v>
      </c>
      <c r="D2" s="15">
        <v>42005</v>
      </c>
      <c r="E2" s="15">
        <v>109575</v>
      </c>
      <c r="F2" s="7">
        <v>8</v>
      </c>
      <c r="G2" s="7" t="s">
        <v>308</v>
      </c>
    </row>
    <row r="3" spans="1:7" x14ac:dyDescent="0.25">
      <c r="A3" s="8" t="s">
        <v>229</v>
      </c>
      <c r="B3" s="8" t="s">
        <v>416</v>
      </c>
      <c r="C3" s="8" t="s">
        <v>417</v>
      </c>
      <c r="D3" s="15">
        <v>42005</v>
      </c>
      <c r="E3" s="15">
        <v>109575</v>
      </c>
      <c r="F3" s="7">
        <v>12</v>
      </c>
      <c r="G3" s="7" t="s">
        <v>242</v>
      </c>
    </row>
    <row r="4" spans="1:7" x14ac:dyDescent="0.25">
      <c r="A4" s="8" t="s">
        <v>229</v>
      </c>
      <c r="B4" s="8" t="s">
        <v>418</v>
      </c>
      <c r="C4" s="8"/>
      <c r="D4" s="15">
        <v>42005</v>
      </c>
      <c r="E4" s="15">
        <v>45323</v>
      </c>
      <c r="F4" s="7">
        <v>1</v>
      </c>
      <c r="G4" s="7" t="s">
        <v>242</v>
      </c>
    </row>
    <row r="5" spans="1:7" x14ac:dyDescent="0.25">
      <c r="A5" s="8" t="s">
        <v>229</v>
      </c>
      <c r="B5" s="8" t="s">
        <v>418</v>
      </c>
      <c r="C5" s="8" t="s">
        <v>253</v>
      </c>
      <c r="D5" s="15">
        <v>45323</v>
      </c>
      <c r="E5" s="15">
        <v>109575</v>
      </c>
      <c r="F5" s="7">
        <v>1</v>
      </c>
      <c r="G5" s="7" t="s">
        <v>242</v>
      </c>
    </row>
    <row r="6" spans="1:7" x14ac:dyDescent="0.25">
      <c r="A6" s="8" t="s">
        <v>229</v>
      </c>
      <c r="B6" s="8" t="s">
        <v>419</v>
      </c>
      <c r="C6" s="8"/>
      <c r="D6" s="15">
        <v>42005</v>
      </c>
      <c r="E6" s="15">
        <v>109575</v>
      </c>
      <c r="F6" s="33">
        <v>12000000</v>
      </c>
      <c r="G6" s="7" t="s">
        <v>236</v>
      </c>
    </row>
    <row r="7" spans="1:7" x14ac:dyDescent="0.25">
      <c r="A7" s="8" t="s">
        <v>229</v>
      </c>
      <c r="B7" s="8" t="s">
        <v>420</v>
      </c>
      <c r="C7" s="8" t="s">
        <v>421</v>
      </c>
      <c r="D7" s="15">
        <v>42005</v>
      </c>
      <c r="E7" s="15">
        <v>109575</v>
      </c>
      <c r="F7" s="33">
        <v>0</v>
      </c>
      <c r="G7" s="7" t="s">
        <v>308</v>
      </c>
    </row>
    <row r="8" spans="1:7" x14ac:dyDescent="0.25">
      <c r="A8" s="8" t="s">
        <v>229</v>
      </c>
      <c r="B8" s="8" t="s">
        <v>422</v>
      </c>
      <c r="C8" s="8" t="s">
        <v>423</v>
      </c>
      <c r="D8" s="15">
        <v>42005</v>
      </c>
      <c r="E8" s="15">
        <v>109575</v>
      </c>
      <c r="F8" s="33">
        <v>1000000</v>
      </c>
      <c r="G8" s="7" t="s">
        <v>236</v>
      </c>
    </row>
    <row r="9" spans="1:7" x14ac:dyDescent="0.25">
      <c r="A9" s="8" t="s">
        <v>229</v>
      </c>
      <c r="B9" s="8" t="s">
        <v>424</v>
      </c>
      <c r="C9" s="8" t="s">
        <v>425</v>
      </c>
      <c r="D9" s="15">
        <v>42005</v>
      </c>
      <c r="E9" s="15">
        <v>109575</v>
      </c>
      <c r="F9" s="33">
        <v>2</v>
      </c>
      <c r="G9" s="7" t="s">
        <v>308</v>
      </c>
    </row>
    <row r="10" spans="1:7" x14ac:dyDescent="0.25">
      <c r="A10" s="8" t="s">
        <v>229</v>
      </c>
      <c r="B10" s="8" t="s">
        <v>426</v>
      </c>
      <c r="C10" s="8" t="s">
        <v>427</v>
      </c>
      <c r="D10" s="15">
        <v>34700</v>
      </c>
      <c r="E10" s="15">
        <v>45658</v>
      </c>
      <c r="F10" s="33"/>
      <c r="G10" s="7"/>
    </row>
    <row r="11" spans="1:7" x14ac:dyDescent="0.25">
      <c r="A11" s="8" t="s">
        <v>229</v>
      </c>
      <c r="B11" s="8" t="s">
        <v>426</v>
      </c>
      <c r="C11" s="8" t="s">
        <v>427</v>
      </c>
      <c r="D11" s="15">
        <v>45658</v>
      </c>
      <c r="E11" s="15">
        <v>45748</v>
      </c>
      <c r="F11" s="33">
        <v>0</v>
      </c>
      <c r="G11" s="7" t="s">
        <v>242</v>
      </c>
    </row>
    <row r="12" spans="1:7" x14ac:dyDescent="0.25">
      <c r="A12" s="8" t="s">
        <v>229</v>
      </c>
      <c r="B12" s="8" t="s">
        <v>426</v>
      </c>
      <c r="C12" s="8" t="s">
        <v>427</v>
      </c>
      <c r="D12" s="15">
        <v>45748</v>
      </c>
      <c r="E12" s="15">
        <v>109575</v>
      </c>
      <c r="F12" s="33"/>
      <c r="G12" s="7"/>
    </row>
    <row r="13" spans="1:7" x14ac:dyDescent="0.25">
      <c r="A13" s="8" t="s">
        <v>229</v>
      </c>
      <c r="B13" s="8" t="s">
        <v>428</v>
      </c>
      <c r="C13" s="8" t="s">
        <v>427</v>
      </c>
      <c r="D13" s="15">
        <v>34700</v>
      </c>
      <c r="E13" s="15">
        <v>45658</v>
      </c>
      <c r="F13" s="33"/>
      <c r="G13" s="7"/>
    </row>
    <row r="14" spans="1:7" x14ac:dyDescent="0.25">
      <c r="A14" s="8" t="s">
        <v>229</v>
      </c>
      <c r="B14" s="8" t="s">
        <v>428</v>
      </c>
      <c r="C14" s="8" t="s">
        <v>427</v>
      </c>
      <c r="D14" s="15">
        <v>45658</v>
      </c>
      <c r="E14" s="15">
        <v>45689</v>
      </c>
      <c r="F14" s="33">
        <v>0</v>
      </c>
      <c r="G14" s="7" t="s">
        <v>236</v>
      </c>
    </row>
    <row r="15" spans="1:7" x14ac:dyDescent="0.25">
      <c r="A15" s="8" t="s">
        <v>229</v>
      </c>
      <c r="B15" s="8" t="s">
        <v>428</v>
      </c>
      <c r="C15" s="8" t="s">
        <v>427</v>
      </c>
      <c r="D15" s="15">
        <v>45689</v>
      </c>
      <c r="E15" s="15">
        <v>45748</v>
      </c>
      <c r="F15" s="33">
        <v>0</v>
      </c>
      <c r="G15" s="7" t="s">
        <v>236</v>
      </c>
    </row>
    <row r="16" spans="1:7" x14ac:dyDescent="0.25">
      <c r="A16" s="8" t="s">
        <v>229</v>
      </c>
      <c r="B16" s="8" t="s">
        <v>428</v>
      </c>
      <c r="C16" s="8" t="s">
        <v>427</v>
      </c>
      <c r="D16" s="15">
        <v>45748</v>
      </c>
      <c r="E16" s="15">
        <v>109575</v>
      </c>
      <c r="F16" s="33"/>
      <c r="G16" s="7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5169-2829-4CDE-8559-3AD08F96157D}">
  <sheetPr codeName="VARIABLES"/>
  <dimension ref="A1:H12"/>
  <sheetViews>
    <sheetView workbookViewId="0">
      <selection activeCell="B8" sqref="B8"/>
    </sheetView>
  </sheetViews>
  <sheetFormatPr defaultColWidth="8.7265625" defaultRowHeight="10.5" x14ac:dyDescent="0.25"/>
  <cols>
    <col min="1" max="1" width="8.54296875" style="1" bestFit="1" customWidth="1"/>
    <col min="2" max="2" width="43.26953125" style="1" bestFit="1" customWidth="1"/>
    <col min="3" max="3" width="93" style="1" bestFit="1" customWidth="1"/>
    <col min="4" max="4" width="9.26953125" style="2" bestFit="1" customWidth="1"/>
    <col min="5" max="5" width="8.54296875" style="2" bestFit="1" customWidth="1"/>
    <col min="6" max="6" width="10" style="1" bestFit="1" customWidth="1"/>
    <col min="7" max="7" width="11" style="1" bestFit="1" customWidth="1"/>
    <col min="8" max="8" width="43.6328125" style="1" bestFit="1" customWidth="1"/>
    <col min="9" max="16384" width="8.7265625" style="1"/>
  </cols>
  <sheetData>
    <row r="1" spans="1:8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14" t="s">
        <v>69</v>
      </c>
      <c r="G1" s="14" t="s">
        <v>85</v>
      </c>
      <c r="H1" s="14" t="s">
        <v>86</v>
      </c>
    </row>
    <row r="2" spans="1:8" x14ac:dyDescent="0.25">
      <c r="A2" s="8" t="s">
        <v>229</v>
      </c>
      <c r="B2" s="8" t="s">
        <v>429</v>
      </c>
      <c r="C2" s="8" t="s">
        <v>430</v>
      </c>
      <c r="D2" s="15">
        <v>42005</v>
      </c>
      <c r="E2" s="15">
        <v>109575</v>
      </c>
      <c r="F2" s="7" t="s">
        <v>431</v>
      </c>
      <c r="G2" s="7" t="s">
        <v>432</v>
      </c>
      <c r="H2" s="7" t="s">
        <v>414</v>
      </c>
    </row>
    <row r="3" spans="1:8" x14ac:dyDescent="0.25">
      <c r="A3" s="8" t="s">
        <v>229</v>
      </c>
      <c r="B3" s="8" t="s">
        <v>260</v>
      </c>
      <c r="C3" s="8"/>
      <c r="D3" s="15">
        <v>42005</v>
      </c>
      <c r="E3" s="15">
        <v>109575</v>
      </c>
      <c r="F3" s="7" t="s">
        <v>433</v>
      </c>
      <c r="G3" s="7" t="s">
        <v>432</v>
      </c>
      <c r="H3" s="7" t="s">
        <v>419</v>
      </c>
    </row>
    <row r="4" spans="1:8" x14ac:dyDescent="0.25">
      <c r="A4" s="8" t="s">
        <v>229</v>
      </c>
      <c r="B4" s="8" t="s">
        <v>261</v>
      </c>
      <c r="C4" s="8"/>
      <c r="D4" s="15">
        <v>42005</v>
      </c>
      <c r="E4" s="15">
        <v>109575</v>
      </c>
      <c r="F4" s="7" t="s">
        <v>434</v>
      </c>
      <c r="G4" s="7" t="s">
        <v>432</v>
      </c>
      <c r="H4" s="7" t="s">
        <v>418</v>
      </c>
    </row>
    <row r="5" spans="1:8" x14ac:dyDescent="0.25">
      <c r="A5" s="8" t="s">
        <v>229</v>
      </c>
      <c r="B5" s="8" t="s">
        <v>327</v>
      </c>
      <c r="C5" s="8" t="s">
        <v>435</v>
      </c>
      <c r="D5" s="15">
        <v>42005</v>
      </c>
      <c r="E5" s="15">
        <v>109575</v>
      </c>
      <c r="F5" s="7" t="s">
        <v>434</v>
      </c>
      <c r="G5" s="7" t="s">
        <v>432</v>
      </c>
      <c r="H5" s="7" t="s">
        <v>416</v>
      </c>
    </row>
    <row r="6" spans="1:8" x14ac:dyDescent="0.25">
      <c r="A6" s="8" t="s">
        <v>229</v>
      </c>
      <c r="B6" s="8" t="s">
        <v>436</v>
      </c>
      <c r="C6" s="8" t="s">
        <v>437</v>
      </c>
      <c r="D6" s="15">
        <v>42005</v>
      </c>
      <c r="E6" s="15">
        <v>109575</v>
      </c>
      <c r="F6" s="7" t="s">
        <v>431</v>
      </c>
      <c r="G6" s="7" t="s">
        <v>432</v>
      </c>
      <c r="H6" s="7" t="s">
        <v>420</v>
      </c>
    </row>
    <row r="7" spans="1:8" x14ac:dyDescent="0.25">
      <c r="A7" s="8" t="s">
        <v>229</v>
      </c>
      <c r="B7" s="8" t="s">
        <v>438</v>
      </c>
      <c r="C7" s="8" t="s">
        <v>439</v>
      </c>
      <c r="D7" s="15">
        <v>42005</v>
      </c>
      <c r="E7" s="15">
        <v>109575</v>
      </c>
      <c r="F7" s="7" t="s">
        <v>433</v>
      </c>
      <c r="G7" s="7" t="s">
        <v>432</v>
      </c>
      <c r="H7" s="7" t="s">
        <v>422</v>
      </c>
    </row>
    <row r="8" spans="1:8" x14ac:dyDescent="0.25">
      <c r="A8" s="8" t="s">
        <v>229</v>
      </c>
      <c r="B8" s="8" t="s">
        <v>440</v>
      </c>
      <c r="C8" s="8"/>
      <c r="D8" s="15">
        <v>42005</v>
      </c>
      <c r="E8" s="15">
        <v>109575</v>
      </c>
      <c r="F8" s="7" t="s">
        <v>431</v>
      </c>
      <c r="G8" s="7" t="s">
        <v>432</v>
      </c>
      <c r="H8" s="7" t="s">
        <v>424</v>
      </c>
    </row>
    <row r="9" spans="1:8" x14ac:dyDescent="0.25">
      <c r="A9" s="8" t="s">
        <v>229</v>
      </c>
      <c r="B9" s="8" t="s">
        <v>441</v>
      </c>
      <c r="C9" s="8" t="s">
        <v>442</v>
      </c>
      <c r="D9" s="15">
        <v>45658</v>
      </c>
      <c r="E9" s="15">
        <v>109575</v>
      </c>
      <c r="F9" s="7" t="s">
        <v>434</v>
      </c>
      <c r="G9" s="7" t="s">
        <v>432</v>
      </c>
      <c r="H9" s="7" t="s">
        <v>426</v>
      </c>
    </row>
    <row r="10" spans="1:8" x14ac:dyDescent="0.25">
      <c r="A10" s="8" t="s">
        <v>229</v>
      </c>
      <c r="B10" s="8" t="s">
        <v>443</v>
      </c>
      <c r="C10" s="8" t="s">
        <v>427</v>
      </c>
      <c r="D10" s="15">
        <v>45658</v>
      </c>
      <c r="E10" s="15">
        <v>109575</v>
      </c>
      <c r="F10" s="7" t="s">
        <v>433</v>
      </c>
      <c r="G10" s="7" t="s">
        <v>432</v>
      </c>
      <c r="H10" s="7" t="s">
        <v>428</v>
      </c>
    </row>
    <row r="11" spans="1:8" x14ac:dyDescent="0.25">
      <c r="A11" s="8" t="s">
        <v>229</v>
      </c>
      <c r="B11" s="8" t="s">
        <v>478</v>
      </c>
      <c r="C11" s="8" t="s">
        <v>479</v>
      </c>
      <c r="D11" s="15">
        <v>42005</v>
      </c>
      <c r="E11" s="15">
        <v>109575</v>
      </c>
      <c r="F11" s="7" t="s">
        <v>431</v>
      </c>
      <c r="G11" s="7" t="s">
        <v>480</v>
      </c>
      <c r="H11" s="7" t="s">
        <v>114</v>
      </c>
    </row>
    <row r="12" spans="1:8" x14ac:dyDescent="0.25">
      <c r="A12" s="8" t="s">
        <v>229</v>
      </c>
      <c r="B12" s="8" t="s">
        <v>481</v>
      </c>
      <c r="C12" s="8" t="s">
        <v>482</v>
      </c>
      <c r="D12" s="15">
        <v>45658</v>
      </c>
      <c r="E12" s="15">
        <v>109575</v>
      </c>
      <c r="F12" s="7" t="s">
        <v>433</v>
      </c>
      <c r="G12" s="7" t="s">
        <v>480</v>
      </c>
      <c r="H12" s="7" t="s">
        <v>483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E7F10-F940-4D4B-A0D5-6B83CC667AB9}">
  <sheetPr codeName="FORMULAS"/>
  <dimension ref="A1:G14"/>
  <sheetViews>
    <sheetView workbookViewId="0">
      <selection sqref="A1:XFD1"/>
    </sheetView>
  </sheetViews>
  <sheetFormatPr defaultColWidth="8.7265625" defaultRowHeight="10.5" x14ac:dyDescent="0.25"/>
  <cols>
    <col min="1" max="1" width="9.36328125" style="1" bestFit="1" customWidth="1"/>
    <col min="2" max="2" width="43.7265625" style="1" bestFit="1" customWidth="1"/>
    <col min="3" max="3" width="112.08984375" style="1" bestFit="1" customWidth="1"/>
    <col min="4" max="4" width="9.54296875" style="2" bestFit="1" customWidth="1"/>
    <col min="5" max="5" width="8.81640625" style="2" bestFit="1" customWidth="1"/>
    <col min="6" max="6" width="255.08984375" style="1" bestFit="1" customWidth="1"/>
    <col min="7" max="7" width="10.90625" style="1" bestFit="1" customWidth="1"/>
    <col min="8" max="16384" width="8.7265625" style="1"/>
  </cols>
  <sheetData>
    <row r="1" spans="1:7" x14ac:dyDescent="0.25">
      <c r="A1" s="3" t="s">
        <v>0</v>
      </c>
      <c r="B1" s="3" t="s">
        <v>1</v>
      </c>
      <c r="C1" s="3" t="s">
        <v>68</v>
      </c>
      <c r="D1" s="4" t="s">
        <v>2</v>
      </c>
      <c r="E1" s="4" t="s">
        <v>3</v>
      </c>
      <c r="F1" s="5" t="s">
        <v>87</v>
      </c>
      <c r="G1" s="5" t="s">
        <v>69</v>
      </c>
    </row>
    <row r="2" spans="1:7" x14ac:dyDescent="0.25">
      <c r="A2" s="8" t="s">
        <v>229</v>
      </c>
      <c r="B2" s="8" t="s">
        <v>444</v>
      </c>
      <c r="C2" s="8" t="s">
        <v>445</v>
      </c>
      <c r="D2" s="15">
        <v>42005</v>
      </c>
      <c r="E2" s="15">
        <v>109575</v>
      </c>
      <c r="F2" s="7" t="s">
        <v>446</v>
      </c>
      <c r="G2" s="7" t="s">
        <v>447</v>
      </c>
    </row>
    <row r="3" spans="1:7" x14ac:dyDescent="0.25">
      <c r="A3" s="8" t="s">
        <v>229</v>
      </c>
      <c r="B3" s="8" t="s">
        <v>252</v>
      </c>
      <c r="C3" s="8" t="s">
        <v>448</v>
      </c>
      <c r="D3" s="15">
        <v>42005</v>
      </c>
      <c r="E3" s="15">
        <v>109575</v>
      </c>
      <c r="F3" s="7" t="s">
        <v>449</v>
      </c>
      <c r="G3" s="7" t="s">
        <v>447</v>
      </c>
    </row>
    <row r="4" spans="1:7" x14ac:dyDescent="0.25">
      <c r="A4" s="8" t="s">
        <v>229</v>
      </c>
      <c r="B4" s="8" t="s">
        <v>230</v>
      </c>
      <c r="C4" s="8" t="s">
        <v>450</v>
      </c>
      <c r="D4" s="15">
        <v>42005</v>
      </c>
      <c r="E4" s="15">
        <v>109575</v>
      </c>
      <c r="F4" s="7" t="b">
        <v>0</v>
      </c>
      <c r="G4" s="7" t="s">
        <v>447</v>
      </c>
    </row>
    <row r="5" spans="1:7" x14ac:dyDescent="0.25">
      <c r="A5" s="8" t="s">
        <v>229</v>
      </c>
      <c r="B5" s="8" t="s">
        <v>306</v>
      </c>
      <c r="C5" s="8" t="s">
        <v>451</v>
      </c>
      <c r="D5" s="15">
        <v>42005</v>
      </c>
      <c r="E5" s="15">
        <v>109575</v>
      </c>
      <c r="F5" s="7" t="s">
        <v>452</v>
      </c>
      <c r="G5" s="7" t="s">
        <v>447</v>
      </c>
    </row>
    <row r="6" spans="1:7" x14ac:dyDescent="0.25">
      <c r="A6" s="8" t="s">
        <v>229</v>
      </c>
      <c r="B6" s="8" t="s">
        <v>453</v>
      </c>
      <c r="C6" s="8" t="s">
        <v>454</v>
      </c>
      <c r="D6" s="15">
        <v>42005</v>
      </c>
      <c r="E6" s="15">
        <v>109575</v>
      </c>
      <c r="F6" s="7" t="s">
        <v>455</v>
      </c>
      <c r="G6" s="7" t="s">
        <v>447</v>
      </c>
    </row>
    <row r="7" spans="1:7" x14ac:dyDescent="0.25">
      <c r="A7" s="8" t="s">
        <v>229</v>
      </c>
      <c r="B7" s="8" t="s">
        <v>231</v>
      </c>
      <c r="C7" s="8" t="s">
        <v>456</v>
      </c>
      <c r="D7" s="15">
        <v>42005</v>
      </c>
      <c r="E7" s="15">
        <v>109575</v>
      </c>
      <c r="F7" s="7" t="s">
        <v>457</v>
      </c>
      <c r="G7" s="7" t="s">
        <v>447</v>
      </c>
    </row>
    <row r="8" spans="1:7" x14ac:dyDescent="0.25">
      <c r="A8" s="8" t="s">
        <v>229</v>
      </c>
      <c r="B8" s="8" t="s">
        <v>303</v>
      </c>
      <c r="C8" s="8" t="s">
        <v>458</v>
      </c>
      <c r="D8" s="15">
        <v>42005</v>
      </c>
      <c r="E8" s="15">
        <v>109575</v>
      </c>
      <c r="F8" s="7" t="s">
        <v>459</v>
      </c>
      <c r="G8" s="7" t="s">
        <v>447</v>
      </c>
    </row>
    <row r="9" spans="1:7" x14ac:dyDescent="0.25">
      <c r="A9" s="8" t="s">
        <v>229</v>
      </c>
      <c r="B9" s="8" t="s">
        <v>460</v>
      </c>
      <c r="C9" s="8" t="s">
        <v>461</v>
      </c>
      <c r="D9" s="15">
        <v>42005</v>
      </c>
      <c r="E9" s="15">
        <v>109575</v>
      </c>
      <c r="F9" s="7" t="s">
        <v>462</v>
      </c>
      <c r="G9" s="7" t="s">
        <v>447</v>
      </c>
    </row>
    <row r="10" spans="1:7" x14ac:dyDescent="0.25">
      <c r="A10" s="8" t="s">
        <v>229</v>
      </c>
      <c r="B10" s="8" t="s">
        <v>463</v>
      </c>
      <c r="C10" s="8" t="s">
        <v>464</v>
      </c>
      <c r="D10" s="15">
        <v>42005</v>
      </c>
      <c r="E10" s="15">
        <v>109575</v>
      </c>
      <c r="F10" s="7" t="s">
        <v>465</v>
      </c>
      <c r="G10" s="7" t="s">
        <v>447</v>
      </c>
    </row>
    <row r="11" spans="1:7" x14ac:dyDescent="0.25">
      <c r="A11" s="8" t="s">
        <v>229</v>
      </c>
      <c r="B11" s="8" t="s">
        <v>466</v>
      </c>
      <c r="C11" s="8" t="s">
        <v>467</v>
      </c>
      <c r="D11" s="15">
        <v>42005</v>
      </c>
      <c r="E11" s="15">
        <v>109575</v>
      </c>
      <c r="F11" s="7" t="s">
        <v>468</v>
      </c>
      <c r="G11" s="7" t="s">
        <v>447</v>
      </c>
    </row>
    <row r="12" spans="1:7" x14ac:dyDescent="0.25">
      <c r="A12" s="8" t="s">
        <v>229</v>
      </c>
      <c r="B12" s="8" t="s">
        <v>469</v>
      </c>
      <c r="C12" s="8" t="s">
        <v>470</v>
      </c>
      <c r="D12" s="15">
        <v>42005</v>
      </c>
      <c r="E12" s="15">
        <v>109575</v>
      </c>
      <c r="F12" s="7" t="s">
        <v>471</v>
      </c>
      <c r="G12" s="7" t="s">
        <v>447</v>
      </c>
    </row>
    <row r="13" spans="1:7" x14ac:dyDescent="0.25">
      <c r="A13" s="8" t="s">
        <v>229</v>
      </c>
      <c r="B13" s="8" t="s">
        <v>472</v>
      </c>
      <c r="C13" s="8" t="s">
        <v>473</v>
      </c>
      <c r="D13" s="15">
        <v>42005</v>
      </c>
      <c r="E13" s="15">
        <v>109575</v>
      </c>
      <c r="F13" s="7" t="s">
        <v>474</v>
      </c>
      <c r="G13" s="7" t="s">
        <v>447</v>
      </c>
    </row>
    <row r="14" spans="1:7" x14ac:dyDescent="0.25">
      <c r="A14" s="8" t="s">
        <v>229</v>
      </c>
      <c r="B14" s="8" t="s">
        <v>475</v>
      </c>
      <c r="C14" s="8" t="s">
        <v>476</v>
      </c>
      <c r="D14" s="15">
        <v>45658</v>
      </c>
      <c r="E14" s="15">
        <v>109575</v>
      </c>
      <c r="F14" s="7" t="s">
        <v>477</v>
      </c>
      <c r="G14" s="7" t="s">
        <v>433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3CC19-4CF3-4293-ABDD-CFDBC83FCCBC}">
  <sheetPr codeName="Sheet2"/>
  <dimension ref="C9:N11"/>
  <sheetViews>
    <sheetView topLeftCell="B1" workbookViewId="0">
      <selection activeCell="N8" sqref="N8"/>
    </sheetView>
  </sheetViews>
  <sheetFormatPr defaultRowHeight="14.5" x14ac:dyDescent="0.35"/>
  <cols>
    <col min="13" max="13" width="12.6328125" bestFit="1" customWidth="1"/>
    <col min="14" max="14" width="80" style="64" customWidth="1"/>
  </cols>
  <sheetData>
    <row r="9" spans="3:3" x14ac:dyDescent="0.35">
      <c r="C9" s="36" t="s">
        <v>6</v>
      </c>
    </row>
    <row r="10" spans="3:3" x14ac:dyDescent="0.35">
      <c r="C10" s="36" t="s">
        <v>103</v>
      </c>
    </row>
    <row r="11" spans="3:3" x14ac:dyDescent="0.35">
      <c r="C11" s="36" t="s">
        <v>104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eet2.CopySheetsToNewWorkbook">
                <anchor moveWithCells="1" sizeWithCells="1">
                  <from>
                    <xdr:col>3</xdr:col>
                    <xdr:colOff>57150</xdr:colOff>
                    <xdr:row>2</xdr:row>
                    <xdr:rowOff>95250</xdr:rowOff>
                  </from>
                  <to>
                    <xdr:col>5</xdr:col>
                    <xdr:colOff>469900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474BCF04F56241AB1EA344F17B4370" ma:contentTypeVersion="14" ma:contentTypeDescription="Create a new document." ma:contentTypeScope="" ma:versionID="a01f2b92ec0eedff490611a0ea789419">
  <xsd:schema xmlns:xsd="http://www.w3.org/2001/XMLSchema" xmlns:xs="http://www.w3.org/2001/XMLSchema" xmlns:p="http://schemas.microsoft.com/office/2006/metadata/properties" xmlns:ns1="http://schemas.microsoft.com/sharepoint/v3" xmlns:ns2="eb69d244-a151-4d12-9ef2-a5e92a1dd2d3" xmlns:ns3="9f5429a3-bb2d-46fc-8f33-c857627b38f8" targetNamespace="http://schemas.microsoft.com/office/2006/metadata/properties" ma:root="true" ma:fieldsID="307f9a13fda323c652671b5dd32257a7" ns1:_="" ns2:_="" ns3:_="">
    <xsd:import namespace="http://schemas.microsoft.com/sharepoint/v3"/>
    <xsd:import namespace="eb69d244-a151-4d12-9ef2-a5e92a1dd2d3"/>
    <xsd:import namespace="9f5429a3-bb2d-46fc-8f33-c857627b38f8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69d244-a151-4d12-9ef2-a5e92a1dd2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429a3-bb2d-46fc-8f33-c857627b38f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8162E27-23FC-4D64-9433-1174B88B602D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9f5429a3-bb2d-46fc-8f33-c857627b38f8"/>
    <ds:schemaRef ds:uri="eb69d244-a151-4d12-9ef2-a5e92a1dd2d3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F6C13F4-B3A8-44C9-A641-FD23DE11E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69d244-a151-4d12-9ef2-a5e92a1dd2d3"/>
    <ds:schemaRef ds:uri="9f5429a3-bb2d-46fc-8f33-c857627b38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B3DBC8-FBCC-4C8C-9DEA-79107E2DB15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75BC158-DF49-47D3-B8A3-709E108DDE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Summary</vt:lpstr>
      <vt:lpstr>PLANS</vt:lpstr>
      <vt:lpstr>COMPONENTS</vt:lpstr>
      <vt:lpstr>CREDITRULES</vt:lpstr>
      <vt:lpstr>MEASUREMENTS</vt:lpstr>
      <vt:lpstr>INCENTIVES</vt:lpstr>
      <vt:lpstr>DEPOSITS</vt:lpstr>
      <vt:lpstr>LOOKUP_TABLES</vt:lpstr>
      <vt:lpstr>Sheet4</vt:lpstr>
      <vt:lpstr>RATE_TABLES</vt:lpstr>
      <vt:lpstr>FIXED_VALUES</vt:lpstr>
      <vt:lpstr>VARIABLES</vt:lpstr>
      <vt:lpstr>FORMULAS</vt:lpstr>
      <vt:lpstr>Sheet2</vt:lpstr>
      <vt:lpstr>Plan_File_Path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SAP-Commissions-XML</dc:title>
  <dc:creator>mandar.sontakke@opensymmetry.com</dc:creator>
  <cp:keywords>Keywords</cp:keywords>
  <cp:lastModifiedBy>Mandar Sontakke</cp:lastModifiedBy>
  <cp:lastPrinted>2021-09-02T15:25:35Z</cp:lastPrinted>
  <dcterms:created xsi:type="dcterms:W3CDTF">2021-06-12T08:01:06Z</dcterms:created>
  <dcterms:modified xsi:type="dcterms:W3CDTF">2025-02-15T15:04:03Z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2021-06-12T08:01:39Z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952fa548-d2bd-4062-8ab3-0000ce3c7e5b</vt:lpwstr>
  </property>
  <property fmtid="{D5CDD505-2E9C-101B-9397-08002B2CF9AE}" pid="8" name="MSIP_Label_0359f705-2ba0-454b-9cfc-6ce5bcaac040_ContentBits">
    <vt:lpwstr>2</vt:lpwstr>
  </property>
  <property fmtid="{D5CDD505-2E9C-101B-9397-08002B2CF9AE}" pid="9" name="ContentTypeId">
    <vt:lpwstr>0x01010028474BCF04F56241AB1EA344F17B4370</vt:lpwstr>
  </property>
</Properties>
</file>